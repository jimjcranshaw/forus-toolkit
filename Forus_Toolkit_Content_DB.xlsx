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REVIEW_QUEUE" sheetId="2" state="visible" r:id="rId2"/>
    <sheet xmlns:r="http://schemas.openxmlformats.org/officeDocument/2006/relationships" name="CONTENT" sheetId="3" state="visible" r:id="rId3"/>
    <sheet xmlns:r="http://schemas.openxmlformats.org/officeDocument/2006/relationships" name="MECHANISMS" sheetId="4" state="visible" r:id="rId4"/>
    <sheet xmlns:r="http://schemas.openxmlformats.org/officeDocument/2006/relationships" name="DB_REFERENCES" sheetId="5" state="visible" r:id="rId5"/>
    <sheet xmlns:r="http://schemas.openxmlformats.org/officeDocument/2006/relationships" name="SECTION_CONFIG" sheetId="6" state="visible" r:id="rId6"/>
    <sheet xmlns:r="http://schemas.openxmlformats.org/officeDocument/2006/relationships" name="INSTRUCTIONS" sheetId="7" state="visible" r:id="rId7"/>
  </sheets>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name val="Arial"/>
      <b val="1"/>
      <color rgb="00FFFFFF"/>
      <sz val="14"/>
    </font>
    <font>
      <name val="Arial"/>
      <b val="1"/>
      <color rgb="00FFFFFF"/>
      <sz val="11"/>
    </font>
    <font>
      <name val="Arial"/>
      <color rgb="004A4A4A"/>
      <sz val="10"/>
    </font>
    <font>
      <name val="Arial"/>
      <b val="1"/>
      <color rgb="002E6B6B"/>
      <sz val="9"/>
    </font>
    <font>
      <name val="Arial"/>
      <b val="1"/>
      <color rgb="004A4A4A"/>
      <sz val="11"/>
    </font>
    <font>
      <name val="Arial"/>
      <b val="1"/>
      <color rgb="002D5016"/>
      <sz val="9"/>
    </font>
    <font>
      <name val="Arial"/>
      <b val="1"/>
      <color rgb="004A7C2F"/>
      <sz val="9"/>
    </font>
    <font>
      <name val="Arial"/>
      <b val="1"/>
      <color rgb="008B1A1A"/>
      <sz val="9"/>
    </font>
    <font>
      <name val="Arial"/>
      <b val="1"/>
      <color rgb="00B8860B"/>
      <sz val="9"/>
    </font>
    <font>
      <name val="Arial"/>
      <b val="1"/>
      <color rgb="00E07B00"/>
      <sz val="9"/>
    </font>
    <font>
      <name val="Arial"/>
      <b val="1"/>
      <color rgb="001F4E79"/>
      <sz val="9"/>
    </font>
    <font>
      <name val="Arial"/>
      <b val="1"/>
      <color rgb="004B0082"/>
      <sz val="9"/>
    </font>
    <font>
      <name val="Arial"/>
      <b val="1"/>
      <color rgb="008B6800"/>
      <sz val="9"/>
    </font>
    <font>
      <name val="Arial"/>
      <b val="1"/>
      <color rgb="00FFFFFF"/>
      <sz val="13"/>
    </font>
    <font>
      <name val="Arial"/>
      <b val="1"/>
      <color rgb="004A7C2F"/>
      <sz val="10"/>
    </font>
    <font>
      <name val="Arial"/>
      <b val="1"/>
      <color rgb="004A4A4A"/>
      <sz val="10"/>
    </font>
    <font>
      <name val="Arial"/>
      <b val="1"/>
      <color rgb="00E07B00"/>
      <sz val="10"/>
    </font>
    <font>
      <name val="Arial"/>
      <b val="1"/>
      <color rgb="00FFFFFF"/>
      <sz val="10"/>
    </font>
    <font>
      <name val="Arial"/>
      <b val="1"/>
      <color rgb="005C3A00"/>
      <sz val="9"/>
    </font>
    <font>
      <name val="Arial"/>
      <sz val="10"/>
    </font>
    <font>
      <name val="Arial"/>
      <b val="1"/>
      <color rgb="00FFFFFF"/>
      <sz val="9"/>
    </font>
    <font>
      <name val="Arial"/>
      <color rgb="00000000"/>
      <sz val="10"/>
    </font>
    <font>
      <name val="Arial"/>
      <b val="1"/>
      <color rgb="002D5016"/>
      <sz val="10"/>
    </font>
    <font>
      <name val="Arial"/>
      <b val="1"/>
      <sz val="9"/>
    </font>
    <font>
      <name val="Arial"/>
      <color rgb="001F4E79"/>
      <sz val="9"/>
    </font>
    <font>
      <name val="Arial"/>
      <b val="1"/>
      <color rgb="0000424D"/>
      <sz val="9"/>
    </font>
    <font>
      <name val="Arial"/>
      <b val="1"/>
      <color rgb="0000424D"/>
      <sz val="10"/>
    </font>
    <font>
      <name val="Arial"/>
      <sz val="9"/>
    </font>
    <font>
      <name val="Arial"/>
      <i val="1"/>
      <color rgb="0000424D"/>
      <sz val="9"/>
    </font>
    <font>
      <name val="Arial"/>
      <b val="1"/>
      <color rgb="0000424D"/>
      <sz val="12"/>
    </font>
    <font>
      <name val="Arial"/>
      <b val="1"/>
      <sz val="11"/>
    </font>
  </fonts>
  <fills count="44">
    <fill>
      <patternFill/>
    </fill>
    <fill>
      <patternFill patternType="gray125"/>
    </fill>
    <fill>
      <patternFill patternType="solid">
        <fgColor rgb="002D5016"/>
      </patternFill>
    </fill>
    <fill>
      <patternFill patternType="solid">
        <fgColor rgb="00FFFFFF"/>
      </patternFill>
    </fill>
    <fill>
      <patternFill patternType="solid">
        <fgColor rgb="00D4ECEC"/>
      </patternFill>
    </fill>
    <fill>
      <patternFill patternType="solid">
        <fgColor rgb="00F5F5F5"/>
      </patternFill>
    </fill>
    <fill>
      <patternFill patternType="solid">
        <fgColor rgb="00D4E8C2"/>
      </patternFill>
    </fill>
    <fill>
      <patternFill patternType="solid">
        <fgColor rgb="00FDECEA"/>
      </patternFill>
    </fill>
    <fill>
      <patternFill patternType="solid">
        <fgColor rgb="00E0F0E0"/>
      </patternFill>
    </fill>
    <fill>
      <patternFill patternType="solid">
        <fgColor rgb="00FFF8DC"/>
      </patternFill>
    </fill>
    <fill>
      <patternFill patternType="solid">
        <fgColor rgb="00E0F0FF"/>
      </patternFill>
    </fill>
    <fill>
      <patternFill patternType="solid">
        <fgColor rgb="00E8E0F0"/>
      </patternFill>
    </fill>
    <fill>
      <patternFill patternType="solid">
        <fgColor rgb="00DDEEFF"/>
      </patternFill>
    </fill>
    <fill>
      <patternFill patternType="solid">
        <fgColor rgb="00F0E8D4"/>
      </patternFill>
    </fill>
    <fill>
      <patternFill patternType="solid">
        <fgColor rgb="002E6B6B"/>
      </patternFill>
    </fill>
    <fill>
      <patternFill patternType="solid">
        <fgColor rgb="00FFF0CC"/>
      </patternFill>
    </fill>
    <fill>
      <patternFill patternType="solid">
        <fgColor rgb="001F4E79"/>
      </patternFill>
    </fill>
    <fill>
      <patternFill patternType="solid">
        <fgColor rgb="00F0F8FF"/>
      </patternFill>
    </fill>
    <fill>
      <patternFill patternType="solid">
        <fgColor rgb="008B9A2E"/>
      </patternFill>
    </fill>
    <fill>
      <patternFill patternType="solid">
        <fgColor rgb="008B1A1A"/>
      </patternFill>
    </fill>
    <fill>
      <patternFill patternType="solid">
        <fgColor rgb="00B8860B"/>
      </patternFill>
    </fill>
    <fill>
      <patternFill patternType="solid">
        <fgColor rgb="006B2D8B"/>
      </patternFill>
    </fill>
    <fill>
      <patternFill patternType="solid">
        <fgColor rgb="004A7C2F"/>
      </patternFill>
    </fill>
    <fill>
      <patternFill patternType="solid">
        <fgColor rgb="008B6B00"/>
      </patternFill>
    </fill>
    <fill>
      <patternFill patternType="solid">
        <fgColor rgb="004A4A4A"/>
      </patternFill>
    </fill>
    <fill>
      <patternFill patternType="solid">
        <fgColor rgb="00F5EDD6"/>
      </patternFill>
    </fill>
    <fill>
      <patternFill patternType="solid">
        <fgColor rgb="00E8F0E8"/>
      </patternFill>
    </fill>
    <fill>
      <patternFill patternType="solid">
        <fgColor rgb="001F3A2A"/>
      </patternFill>
    </fill>
    <fill>
      <patternFill patternType="solid">
        <fgColor rgb="00C0392B"/>
      </patternFill>
    </fill>
    <fill>
      <patternFill patternType="solid">
        <fgColor rgb="00FFF0EE"/>
      </patternFill>
    </fill>
    <fill>
      <patternFill patternType="solid">
        <fgColor rgb="00D4A017"/>
      </patternFill>
    </fill>
    <fill>
      <patternFill patternType="solid">
        <fgColor rgb="002E6B8A"/>
      </patternFill>
    </fill>
    <fill>
      <patternFill patternType="solid">
        <fgColor rgb="00F0F0F0"/>
      </patternFill>
    </fill>
    <fill>
      <patternFill patternType="solid">
        <fgColor rgb="0000424D"/>
      </patternFill>
    </fill>
    <fill>
      <patternFill patternType="solid">
        <fgColor rgb="00ED1651"/>
      </patternFill>
    </fill>
    <fill>
      <patternFill patternType="solid">
        <fgColor rgb="00C0134A"/>
      </patternFill>
    </fill>
    <fill>
      <patternFill patternType="solid">
        <fgColor rgb="00B2C100"/>
      </patternFill>
    </fill>
    <fill>
      <patternFill patternType="solid">
        <fgColor rgb="00C9D900"/>
      </patternFill>
    </fill>
    <fill>
      <patternFill patternType="solid">
        <fgColor rgb="0058C5C7"/>
      </patternFill>
    </fill>
    <fill>
      <patternFill patternType="solid">
        <fgColor rgb="00E4EFF0"/>
      </patternFill>
    </fill>
    <fill>
      <patternFill patternType="solid">
        <fgColor rgb="0000424D"/>
        <bgColor rgb="0000424D"/>
      </patternFill>
    </fill>
    <fill>
      <patternFill patternType="solid">
        <fgColor rgb="00FFF3CD"/>
        <bgColor rgb="00FFF3CD"/>
      </patternFill>
    </fill>
    <fill>
      <patternFill patternType="solid">
        <fgColor rgb="0028A745"/>
        <bgColor rgb="0028A745"/>
      </patternFill>
    </fill>
    <fill>
      <patternFill patternType="solid">
        <fgColor rgb="00E8F5E9"/>
        <bgColor rgb="00E8F5E9"/>
      </patternFill>
    </fill>
  </fills>
  <borders count="10">
    <border>
      <left/>
      <right/>
      <top/>
      <bottom/>
      <diagonal/>
    </border>
    <border>
      <left style="thin">
        <color rgb="002D5016"/>
      </left>
      <right style="thin">
        <color rgb="002D5016"/>
      </right>
      <top style="thin">
        <color rgb="002D5016"/>
      </top>
      <bottom style="thin">
        <color rgb="002D5016"/>
      </bottom>
    </border>
    <border>
      <left style="thin">
        <color rgb="00CCCCCC"/>
      </left>
      <right style="thin">
        <color rgb="00CCCCCC"/>
      </right>
      <top style="thin">
        <color rgb="00CCCCCC"/>
      </top>
      <bottom style="thin">
        <color rgb="00CCCCCC"/>
      </bottom>
    </border>
    <border>
      <left style="thin">
        <color rgb="002E6B6B"/>
      </left>
      <right style="thin">
        <color rgb="002E6B6B"/>
      </right>
      <top style="thin">
        <color rgb="002E6B6B"/>
      </top>
      <bottom style="thin">
        <color rgb="002E6B6B"/>
      </bottom>
    </border>
    <border>
      <left style="thin">
        <color rgb="001F4E79"/>
      </left>
      <right style="thin">
        <color rgb="001F4E79"/>
      </right>
      <top style="thin">
        <color rgb="001F4E79"/>
      </top>
      <bottom style="thin">
        <color rgb="001F4E79"/>
      </bottom>
    </border>
    <border>
      <left style="thin">
        <color rgb="008B9A2E"/>
      </left>
      <right style="thin">
        <color rgb="008B9A2E"/>
      </right>
      <top style="thin">
        <color rgb="008B9A2E"/>
      </top>
      <bottom style="thin">
        <color rgb="008B9A2E"/>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140">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2" applyAlignment="1" pivotButton="0" quotePrefix="0" xfId="0">
      <alignment horizontal="left" vertical="top" wrapText="1"/>
    </xf>
    <xf numFmtId="0" fontId="4" fillId="4" borderId="2" applyAlignment="1" pivotButton="0" quotePrefix="0" xfId="0">
      <alignment horizontal="center" vertical="center" wrapText="1"/>
    </xf>
    <xf numFmtId="0" fontId="5" fillId="3" borderId="2" applyAlignment="1" pivotButton="0" quotePrefix="0" xfId="0">
      <alignment horizontal="center" vertical="center"/>
    </xf>
    <xf numFmtId="0" fontId="3" fillId="5" borderId="2" applyAlignment="1" pivotButton="0" quotePrefix="0" xfId="0">
      <alignment horizontal="left" vertical="top" wrapText="1"/>
    </xf>
    <xf numFmtId="0" fontId="6" fillId="6" borderId="2" applyAlignment="1" pivotButton="0" quotePrefix="0" xfId="0">
      <alignment horizontal="center" vertical="center" wrapText="1"/>
    </xf>
    <xf numFmtId="0" fontId="5" fillId="5" borderId="2" applyAlignment="1" pivotButton="0" quotePrefix="0" xfId="0">
      <alignment horizontal="center" vertical="center"/>
    </xf>
    <xf numFmtId="0" fontId="7" fillId="6" borderId="2" applyAlignment="1" pivotButton="0" quotePrefix="0" xfId="0">
      <alignment horizontal="center" vertical="center" wrapText="1"/>
    </xf>
    <xf numFmtId="0" fontId="8" fillId="7" borderId="2" applyAlignment="1" pivotButton="0" quotePrefix="0" xfId="0">
      <alignment horizontal="center" vertical="center" wrapText="1"/>
    </xf>
    <xf numFmtId="0" fontId="6" fillId="8" borderId="2" applyAlignment="1" pivotButton="0" quotePrefix="0" xfId="0">
      <alignment horizontal="center" vertical="center" wrapText="1"/>
    </xf>
    <xf numFmtId="0" fontId="9" fillId="9" borderId="2" applyAlignment="1" pivotButton="0" quotePrefix="0" xfId="0">
      <alignment horizontal="center" vertical="center" wrapText="1"/>
    </xf>
    <xf numFmtId="0" fontId="10" fillId="9" borderId="2" applyAlignment="1" pivotButton="0" quotePrefix="0" xfId="0">
      <alignment horizontal="center" vertical="center" wrapText="1"/>
    </xf>
    <xf numFmtId="0" fontId="11" fillId="10" borderId="2" applyAlignment="1" pivotButton="0" quotePrefix="0" xfId="0">
      <alignment horizontal="center" vertical="center" wrapText="1"/>
    </xf>
    <xf numFmtId="0" fontId="12" fillId="11" borderId="2" applyAlignment="1" pivotButton="0" quotePrefix="0" xfId="0">
      <alignment horizontal="center" vertical="center" wrapText="1"/>
    </xf>
    <xf numFmtId="0" fontId="11" fillId="12" borderId="2" applyAlignment="1" pivotButton="0" quotePrefix="0" xfId="0">
      <alignment horizontal="center" vertical="center" wrapText="1"/>
    </xf>
    <xf numFmtId="0" fontId="13" fillId="13" borderId="2" applyAlignment="1" pivotButton="0" quotePrefix="0" xfId="0">
      <alignment horizontal="center" vertical="center" wrapText="1"/>
    </xf>
    <xf numFmtId="0" fontId="14" fillId="14" borderId="0" applyAlignment="1" pivotButton="0" quotePrefix="0" xfId="0">
      <alignment horizontal="center" vertical="center" wrapText="1"/>
    </xf>
    <xf numFmtId="0" fontId="2" fillId="14" borderId="3" applyAlignment="1" pivotButton="0" quotePrefix="0" xfId="0">
      <alignment horizontal="center" vertical="center" wrapText="1"/>
    </xf>
    <xf numFmtId="0" fontId="15" fillId="6" borderId="2" applyAlignment="1" pivotButton="0" quotePrefix="0" xfId="0">
      <alignment horizontal="center" vertical="center"/>
    </xf>
    <xf numFmtId="0" fontId="16" fillId="9" borderId="2" applyAlignment="1" pivotButton="0" quotePrefix="0" xfId="0">
      <alignment horizontal="center" vertical="center"/>
    </xf>
    <xf numFmtId="0" fontId="16" fillId="6" borderId="2" applyAlignment="1" pivotButton="0" quotePrefix="0" xfId="0">
      <alignment horizontal="center" vertical="center"/>
    </xf>
    <xf numFmtId="0" fontId="17" fillId="15" borderId="2" applyAlignment="1" pivotButton="0" quotePrefix="0" xfId="0">
      <alignment horizontal="center" vertical="center"/>
    </xf>
    <xf numFmtId="0" fontId="14" fillId="16" borderId="0" applyAlignment="1" pivotButton="0" quotePrefix="0" xfId="0">
      <alignment horizontal="center" vertical="center" wrapText="1"/>
    </xf>
    <xf numFmtId="0" fontId="2" fillId="16" borderId="4" applyAlignment="1" pivotButton="0" quotePrefix="0" xfId="0">
      <alignment horizontal="center" vertical="center" wrapText="1"/>
    </xf>
    <xf numFmtId="0" fontId="3" fillId="17" borderId="2" applyAlignment="1" pivotButton="0" quotePrefix="0" xfId="0">
      <alignment horizontal="left" vertical="top" wrapText="1"/>
    </xf>
    <xf numFmtId="0" fontId="3" fillId="12" borderId="2" applyAlignment="1" pivotButton="0" quotePrefix="0" xfId="0">
      <alignment horizontal="left" vertical="top" wrapText="1"/>
    </xf>
    <xf numFmtId="0" fontId="14" fillId="18" borderId="0" applyAlignment="1" pivotButton="0" quotePrefix="0" xfId="0">
      <alignment horizontal="center" vertical="center" wrapText="1"/>
    </xf>
    <xf numFmtId="0" fontId="2" fillId="18" borderId="5" applyAlignment="1" pivotButton="0" quotePrefix="0" xfId="0">
      <alignment horizontal="center" vertical="center" wrapText="1"/>
    </xf>
    <xf numFmtId="0" fontId="3" fillId="3" borderId="2" applyAlignment="1" pivotButton="0" quotePrefix="0" xfId="0">
      <alignment horizontal="left" vertical="center" wrapText="1"/>
    </xf>
    <xf numFmtId="0" fontId="18" fillId="19" borderId="2" applyAlignment="1" pivotButton="0" quotePrefix="0" xfId="0">
      <alignment horizontal="center" vertical="center"/>
    </xf>
    <xf numFmtId="0" fontId="3" fillId="5" borderId="2" applyAlignment="1" pivotButton="0" quotePrefix="0" xfId="0">
      <alignment horizontal="left" vertical="center" wrapText="1"/>
    </xf>
    <xf numFmtId="0" fontId="18" fillId="20" borderId="2" applyAlignment="1" pivotButton="0" quotePrefix="0" xfId="0">
      <alignment horizontal="center" vertical="center"/>
    </xf>
    <xf numFmtId="0" fontId="18" fillId="16" borderId="2" applyAlignment="1" pivotButton="0" quotePrefix="0" xfId="0">
      <alignment horizontal="center" vertical="center"/>
    </xf>
    <xf numFmtId="0" fontId="18" fillId="21" borderId="2" applyAlignment="1" pivotButton="0" quotePrefix="0" xfId="0">
      <alignment horizontal="center" vertical="center"/>
    </xf>
    <xf numFmtId="0" fontId="18" fillId="14" borderId="2" applyAlignment="1" pivotButton="0" quotePrefix="0" xfId="0">
      <alignment horizontal="center" vertical="center"/>
    </xf>
    <xf numFmtId="0" fontId="18" fillId="22" borderId="2" applyAlignment="1" pivotButton="0" quotePrefix="0" xfId="0">
      <alignment horizontal="center" vertical="center"/>
    </xf>
    <xf numFmtId="0" fontId="18" fillId="23" borderId="2" applyAlignment="1" pivotButton="0" quotePrefix="0" xfId="0">
      <alignment horizontal="center" vertical="center"/>
    </xf>
    <xf numFmtId="0" fontId="18" fillId="2" borderId="2" applyAlignment="1" pivotButton="0" quotePrefix="0" xfId="0">
      <alignment horizontal="center" vertical="center"/>
    </xf>
    <xf numFmtId="0" fontId="18" fillId="24" borderId="2" applyAlignment="1" pivotButton="0" quotePrefix="0" xfId="0">
      <alignment horizontal="center" vertical="center"/>
    </xf>
    <xf numFmtId="0" fontId="18" fillId="2" borderId="1" applyAlignment="1" pivotButton="0" quotePrefix="0" xfId="0">
      <alignment horizontal="center" vertical="top" wrapText="1"/>
    </xf>
    <xf numFmtId="0" fontId="3" fillId="6" borderId="2" applyAlignment="1" pivotButton="0" quotePrefix="0" xfId="0">
      <alignment horizontal="left" vertical="top" wrapText="1"/>
    </xf>
    <xf numFmtId="0" fontId="18" fillId="22" borderId="1" applyAlignment="1" pivotButton="0" quotePrefix="0" xfId="0">
      <alignment horizontal="center" vertical="top" wrapText="1"/>
    </xf>
    <xf numFmtId="0" fontId="19" fillId="25" borderId="2" applyAlignment="1" pivotButton="0" quotePrefix="0" xfId="0">
      <alignment horizontal="center" vertical="center" wrapText="1"/>
    </xf>
    <xf numFmtId="0" fontId="6" fillId="26" borderId="2" applyAlignment="1" pivotButton="0" quotePrefix="0" xfId="0">
      <alignment horizontal="center" vertical="center" wrapText="1"/>
    </xf>
    <xf numFmtId="0" fontId="14" fillId="27" borderId="0" applyAlignment="1" pivotButton="0" quotePrefix="0" xfId="0">
      <alignment horizontal="left" vertical="center"/>
    </xf>
    <xf numFmtId="0" fontId="2" fillId="19" borderId="0" applyAlignment="1" pivotButton="0" quotePrefix="0" xfId="0">
      <alignment horizontal="left" vertical="center"/>
    </xf>
    <xf numFmtId="0" fontId="21" fillId="28" borderId="2" applyAlignment="1" pivotButton="0" quotePrefix="0" xfId="0">
      <alignment horizontal="left" vertical="center"/>
    </xf>
    <xf numFmtId="0" fontId="22" fillId="29" borderId="2" applyAlignment="1" pivotButton="0" quotePrefix="0" xfId="0">
      <alignment horizontal="left" vertical="center"/>
    </xf>
    <xf numFmtId="0" fontId="22" fillId="7" borderId="2" applyAlignment="1" pivotButton="0" quotePrefix="0" xfId="0">
      <alignment horizontal="left" vertical="center"/>
    </xf>
    <xf numFmtId="0" fontId="2" fillId="20" borderId="0" applyAlignment="1" pivotButton="0" quotePrefix="0" xfId="0">
      <alignment horizontal="left" vertical="center"/>
    </xf>
    <xf numFmtId="0" fontId="21" fillId="30" borderId="2" applyAlignment="1" pivotButton="0" quotePrefix="0" xfId="0">
      <alignment horizontal="left" vertical="center"/>
    </xf>
    <xf numFmtId="0" fontId="23" fillId="6" borderId="2" applyAlignment="1" pivotButton="0" quotePrefix="0" xfId="0">
      <alignment horizontal="left" vertical="center"/>
    </xf>
    <xf numFmtId="0" fontId="2" fillId="16" borderId="0" applyAlignment="1" pivotButton="0" quotePrefix="0" xfId="0">
      <alignment horizontal="left" vertical="center"/>
    </xf>
    <xf numFmtId="0" fontId="21" fillId="31" borderId="2" applyAlignment="1" pivotButton="0" quotePrefix="0" xfId="0">
      <alignment horizontal="left" vertical="center"/>
    </xf>
    <xf numFmtId="0" fontId="22" fillId="5" borderId="2" applyAlignment="1" pivotButton="0" quotePrefix="0" xfId="0">
      <alignment horizontal="left" vertical="center"/>
    </xf>
    <xf numFmtId="0" fontId="8" fillId="5" borderId="2" applyAlignment="1" pivotButton="0" quotePrefix="0" xfId="0">
      <alignment horizontal="left" vertical="center"/>
    </xf>
    <xf numFmtId="0" fontId="22" fillId="3" borderId="2" applyAlignment="1" pivotButton="0" quotePrefix="0" xfId="0">
      <alignment horizontal="left" vertical="center"/>
    </xf>
    <xf numFmtId="0" fontId="8" fillId="3" borderId="2" applyAlignment="1" pivotButton="0" quotePrefix="0" xfId="0">
      <alignment horizontal="left" vertical="center"/>
    </xf>
    <xf numFmtId="0" fontId="6" fillId="3" borderId="2" applyAlignment="1" pivotButton="0" quotePrefix="0" xfId="0">
      <alignment horizontal="left" vertical="center"/>
    </xf>
    <xf numFmtId="0" fontId="2" fillId="24" borderId="0" applyAlignment="1" pivotButton="0" quotePrefix="0" xfId="0">
      <alignment horizontal="left" vertical="center"/>
    </xf>
    <xf numFmtId="0" fontId="24" fillId="32" borderId="2" applyAlignment="1" pivotButton="0" quotePrefix="0" xfId="0">
      <alignment horizontal="right" vertical="center"/>
    </xf>
    <xf numFmtId="0" fontId="25" fillId="0" borderId="2" applyAlignment="1" pivotButton="0" quotePrefix="0" xfId="0">
      <alignment horizontal="center" vertical="center"/>
    </xf>
    <xf numFmtId="0" fontId="20" fillId="3" borderId="2" applyAlignment="1" pivotButton="0" quotePrefix="0" xfId="0">
      <alignment horizontal="left" vertical="top" wrapText="1"/>
    </xf>
    <xf numFmtId="0" fontId="6" fillId="6" borderId="2" applyAlignment="1" pivotButton="0" quotePrefix="0" xfId="0">
      <alignment horizontal="center" vertical="center"/>
    </xf>
    <xf numFmtId="0" fontId="20" fillId="5" borderId="2" applyAlignment="1" pivotButton="0" quotePrefix="0" xfId="0">
      <alignment horizontal="left" vertical="top" wrapText="1"/>
    </xf>
    <xf numFmtId="0" fontId="8" fillId="7" borderId="2" applyAlignment="1" pivotButton="0" quotePrefix="0" xfId="0">
      <alignment horizontal="center" vertical="center"/>
    </xf>
    <xf numFmtId="0" fontId="6" fillId="6" borderId="2" applyAlignment="1" pivotButton="0" quotePrefix="0" xfId="0">
      <alignment horizontal="left" vertical="top" wrapText="1"/>
    </xf>
    <xf numFmtId="0" fontId="8" fillId="7" borderId="2" applyAlignment="1" pivotButton="0" quotePrefix="0" xfId="0">
      <alignment horizontal="left" vertical="top" wrapText="1"/>
    </xf>
    <xf numFmtId="0" fontId="0" fillId="0" borderId="8" pivotButton="0" quotePrefix="0" xfId="0"/>
    <xf numFmtId="0" fontId="0" fillId="0" borderId="9" pivotButton="0" quotePrefix="0" xfId="0"/>
    <xf numFmtId="0" fontId="22" fillId="29" borderId="2" applyAlignment="1" pivotButton="0" quotePrefix="0" xfId="0">
      <alignment horizontal="left" vertical="center"/>
    </xf>
    <xf numFmtId="0" fontId="22" fillId="7" borderId="2" applyAlignment="1" pivotButton="0" quotePrefix="0" xfId="0">
      <alignment horizontal="left" vertical="center"/>
    </xf>
    <xf numFmtId="0" fontId="22" fillId="5" borderId="2" applyAlignment="1" pivotButton="0" quotePrefix="0" xfId="0">
      <alignment horizontal="left" vertical="center"/>
    </xf>
    <xf numFmtId="0" fontId="8" fillId="5" borderId="2" applyAlignment="1" pivotButton="0" quotePrefix="0" xfId="0">
      <alignment horizontal="left" vertical="center"/>
    </xf>
    <xf numFmtId="0" fontId="22" fillId="3" borderId="2" applyAlignment="1" pivotButton="0" quotePrefix="0" xfId="0">
      <alignment horizontal="left" vertical="center"/>
    </xf>
    <xf numFmtId="0" fontId="8" fillId="3" borderId="2" applyAlignment="1" pivotButton="0" quotePrefix="0" xfId="0">
      <alignment horizontal="left" vertical="center"/>
    </xf>
    <xf numFmtId="0" fontId="6" fillId="3" borderId="2" applyAlignment="1" pivotButton="0" quotePrefix="0" xfId="0">
      <alignment horizontal="left" vertical="center"/>
    </xf>
    <xf numFmtId="0" fontId="22" fillId="29" borderId="2" applyAlignment="1" pivotButton="0" quotePrefix="0" xfId="0">
      <alignment horizontal="left" vertical="center"/>
    </xf>
    <xf numFmtId="0" fontId="22" fillId="7" borderId="2" applyAlignment="1" pivotButton="0" quotePrefix="0" xfId="0">
      <alignment horizontal="left" vertical="center"/>
    </xf>
    <xf numFmtId="0" fontId="22" fillId="5" borderId="2" applyAlignment="1" pivotButton="0" quotePrefix="0" xfId="0">
      <alignment horizontal="left" vertical="center"/>
    </xf>
    <xf numFmtId="0" fontId="8" fillId="5" borderId="2" applyAlignment="1" pivotButton="0" quotePrefix="0" xfId="0">
      <alignment horizontal="left" vertical="center"/>
    </xf>
    <xf numFmtId="0" fontId="22" fillId="3" borderId="2" applyAlignment="1" pivotButton="0" quotePrefix="0" xfId="0">
      <alignment horizontal="left" vertical="center"/>
    </xf>
    <xf numFmtId="0" fontId="8" fillId="3" borderId="2" applyAlignment="1" pivotButton="0" quotePrefix="0" xfId="0">
      <alignment horizontal="left" vertical="center"/>
    </xf>
    <xf numFmtId="0" fontId="6" fillId="3" borderId="2" applyAlignment="1" pivotButton="0" quotePrefix="0" xfId="0">
      <alignment horizontal="left" vertical="center"/>
    </xf>
    <xf numFmtId="0" fontId="14" fillId="33" borderId="0" applyAlignment="1" pivotButton="0" quotePrefix="0" xfId="0">
      <alignment horizontal="left" vertical="center"/>
    </xf>
    <xf numFmtId="0" fontId="2" fillId="34" borderId="0" applyAlignment="1" pivotButton="0" quotePrefix="0" xfId="0">
      <alignment horizontal="left" vertical="center"/>
    </xf>
    <xf numFmtId="0" fontId="21" fillId="35" borderId="2" applyAlignment="1" pivotButton="0" quotePrefix="0" xfId="0">
      <alignment horizontal="left" vertical="center"/>
    </xf>
    <xf numFmtId="0" fontId="27" fillId="6" borderId="2" applyAlignment="1" pivotButton="0" quotePrefix="0" xfId="0">
      <alignment horizontal="left" vertical="center"/>
    </xf>
    <xf numFmtId="0" fontId="2" fillId="36" borderId="0" applyAlignment="1" pivotButton="0" quotePrefix="0" xfId="0">
      <alignment horizontal="left" vertical="center"/>
    </xf>
    <xf numFmtId="0" fontId="21" fillId="37" borderId="2" applyAlignment="1" pivotButton="0" quotePrefix="0" xfId="0">
      <alignment horizontal="left" vertical="center"/>
    </xf>
    <xf numFmtId="0" fontId="2" fillId="33" borderId="0" applyAlignment="1" pivotButton="0" quotePrefix="0" xfId="0">
      <alignment horizontal="left" vertical="center"/>
    </xf>
    <xf numFmtId="0" fontId="21" fillId="38" borderId="2" applyAlignment="1" pivotButton="0" quotePrefix="0" xfId="0">
      <alignment horizontal="left" vertical="center"/>
    </xf>
    <xf numFmtId="0" fontId="22" fillId="5" borderId="2" applyAlignment="1" pivotButton="0" quotePrefix="0" xfId="0">
      <alignment horizontal="left" vertical="center"/>
    </xf>
    <xf numFmtId="0" fontId="6" fillId="5" borderId="2" applyAlignment="1" pivotButton="0" quotePrefix="0" xfId="0">
      <alignment horizontal="left" vertical="center"/>
    </xf>
    <xf numFmtId="0" fontId="22" fillId="3" borderId="2" applyAlignment="1" pivotButton="0" quotePrefix="0" xfId="0">
      <alignment horizontal="left" vertical="center"/>
    </xf>
    <xf numFmtId="0" fontId="6" fillId="3" borderId="2" applyAlignment="1" pivotButton="0" quotePrefix="0" xfId="0">
      <alignment horizontal="left" vertical="center"/>
    </xf>
    <xf numFmtId="0" fontId="26" fillId="6" borderId="2" applyAlignment="1" pivotButton="0" quotePrefix="0" xfId="0">
      <alignment horizontal="left" vertical="top" wrapText="1"/>
    </xf>
    <xf numFmtId="0" fontId="26" fillId="6" borderId="2" applyAlignment="1" pivotButton="0" quotePrefix="0" xfId="0">
      <alignment horizontal="center" vertical="center"/>
    </xf>
    <xf numFmtId="0" fontId="26" fillId="39" borderId="2" applyAlignment="1" pivotButton="0" quotePrefix="0" xfId="0">
      <alignment vertical="top" wrapText="1"/>
    </xf>
    <xf numFmtId="0" fontId="28" fillId="0" borderId="2" applyAlignment="1" pivotButton="0" quotePrefix="0" xfId="0">
      <alignment vertical="top" wrapText="1"/>
    </xf>
    <xf numFmtId="0" fontId="28" fillId="5" borderId="2" applyAlignment="1" pivotButton="0" quotePrefix="0" xfId="0">
      <alignment horizontal="left" vertical="top" wrapText="1"/>
    </xf>
    <xf numFmtId="0" fontId="24" fillId="6" borderId="2" applyAlignment="1" pivotButton="0" quotePrefix="0" xfId="0">
      <alignment horizontal="left" vertical="top" wrapText="1"/>
    </xf>
    <xf numFmtId="0" fontId="28" fillId="3" borderId="2" applyAlignment="1" pivotButton="0" quotePrefix="0" xfId="0">
      <alignment horizontal="left" vertical="top" wrapText="1"/>
    </xf>
    <xf numFmtId="0" fontId="24" fillId="6" borderId="2" applyAlignment="1" pivotButton="0" quotePrefix="0" xfId="0">
      <alignment horizontal="center" vertical="center"/>
    </xf>
    <xf numFmtId="0" fontId="29" fillId="5" borderId="2" applyAlignment="1" pivotButton="0" quotePrefix="0" xfId="0">
      <alignment horizontal="left" vertical="top" wrapText="1"/>
    </xf>
    <xf numFmtId="0" fontId="22" fillId="5" borderId="2" applyAlignment="1" pivotButton="0" quotePrefix="0" xfId="0">
      <alignment horizontal="left" vertical="center"/>
    </xf>
    <xf numFmtId="0" fontId="6" fillId="5" borderId="2" applyAlignment="1" pivotButton="0" quotePrefix="0" xfId="0">
      <alignment horizontal="left" vertical="center"/>
    </xf>
    <xf numFmtId="0" fontId="22" fillId="3" borderId="2" applyAlignment="1" pivotButton="0" quotePrefix="0" xfId="0">
      <alignment horizontal="left" vertical="center"/>
    </xf>
    <xf numFmtId="0" fontId="6" fillId="3" borderId="2" applyAlignment="1" pivotButton="0" quotePrefix="0" xfId="0">
      <alignment horizontal="left" vertical="center"/>
    </xf>
    <xf numFmtId="0" fontId="22" fillId="5" borderId="2" applyAlignment="1" pivotButton="0" quotePrefix="0" xfId="0">
      <alignment horizontal="left" vertical="center"/>
    </xf>
    <xf numFmtId="0" fontId="6" fillId="5" borderId="2" applyAlignment="1" pivotButton="0" quotePrefix="0" xfId="0">
      <alignment horizontal="left" vertical="center"/>
    </xf>
    <xf numFmtId="0" fontId="22" fillId="3" borderId="2" applyAlignment="1" pivotButton="0" quotePrefix="0" xfId="0">
      <alignment horizontal="left" vertical="center"/>
    </xf>
    <xf numFmtId="0" fontId="6" fillId="3" borderId="2" applyAlignment="1" pivotButton="0" quotePrefix="0" xfId="0">
      <alignment horizontal="left" vertical="center"/>
    </xf>
    <xf numFmtId="0" fontId="22" fillId="5" borderId="2" applyAlignment="1" pivotButton="0" quotePrefix="0" xfId="0">
      <alignment horizontal="left" vertical="center"/>
    </xf>
    <xf numFmtId="0" fontId="6" fillId="5" borderId="2" applyAlignment="1" pivotButton="0" quotePrefix="0" xfId="0">
      <alignment horizontal="left" vertical="center"/>
    </xf>
    <xf numFmtId="0" fontId="22" fillId="3" borderId="2" applyAlignment="1" pivotButton="0" quotePrefix="0" xfId="0">
      <alignment horizontal="left" vertical="center"/>
    </xf>
    <xf numFmtId="0" fontId="6" fillId="3" borderId="2" applyAlignment="1" pivotButton="0" quotePrefix="0" xfId="0">
      <alignment horizontal="left" vertical="center"/>
    </xf>
    <xf numFmtId="0" fontId="22" fillId="5" borderId="2" applyAlignment="1" pivotButton="0" quotePrefix="0" xfId="0">
      <alignment horizontal="left" vertical="center"/>
    </xf>
    <xf numFmtId="0" fontId="6" fillId="5" borderId="2" applyAlignment="1" pivotButton="0" quotePrefix="0" xfId="0">
      <alignment horizontal="left" vertical="center"/>
    </xf>
    <xf numFmtId="0" fontId="22" fillId="3" borderId="2" applyAlignment="1" pivotButton="0" quotePrefix="0" xfId="0">
      <alignment horizontal="left" vertical="center"/>
    </xf>
    <xf numFmtId="0" fontId="6" fillId="3" borderId="2" applyAlignment="1" pivotButton="0" quotePrefix="0" xfId="0">
      <alignment horizontal="left" vertical="center"/>
    </xf>
    <xf numFmtId="0" fontId="29" fillId="0" borderId="0" pivotButton="0" quotePrefix="0" xfId="0"/>
    <xf numFmtId="0" fontId="28" fillId="0" borderId="0" pivotButton="0" quotePrefix="0" xfId="0"/>
    <xf numFmtId="0" fontId="24" fillId="0" borderId="0" pivotButton="0" quotePrefix="0" xfId="0"/>
    <xf numFmtId="0" fontId="22" fillId="5" borderId="2" applyAlignment="1" pivotButton="0" quotePrefix="0" xfId="0">
      <alignment horizontal="left" vertical="center"/>
    </xf>
    <xf numFmtId="0" fontId="6" fillId="5" borderId="2" applyAlignment="1" pivotButton="0" quotePrefix="0" xfId="0">
      <alignment horizontal="left" vertical="center"/>
    </xf>
    <xf numFmtId="0" fontId="22" fillId="3" borderId="2" applyAlignment="1" pivotButton="0" quotePrefix="0" xfId="0">
      <alignment horizontal="left" vertical="center"/>
    </xf>
    <xf numFmtId="0" fontId="6" fillId="3" borderId="2" applyAlignment="1" pivotButton="0" quotePrefix="0" xfId="0">
      <alignment horizontal="left" vertical="center"/>
    </xf>
    <xf numFmtId="0" fontId="22" fillId="5" borderId="2" applyAlignment="1" pivotButton="0" quotePrefix="0" xfId="0">
      <alignment horizontal="left" vertical="center"/>
    </xf>
    <xf numFmtId="0" fontId="6" fillId="5" borderId="2" applyAlignment="1" pivotButton="0" quotePrefix="0" xfId="0">
      <alignment horizontal="left" vertical="center"/>
    </xf>
    <xf numFmtId="0" fontId="22" fillId="3" borderId="2" applyAlignment="1" pivotButton="0" quotePrefix="0" xfId="0">
      <alignment horizontal="left" vertical="center"/>
    </xf>
    <xf numFmtId="0" fontId="6" fillId="3" borderId="2" applyAlignment="1" pivotButton="0" quotePrefix="0" xfId="0">
      <alignment horizontal="left" vertical="center"/>
    </xf>
    <xf numFmtId="0" fontId="30" fillId="0" borderId="0" pivotButton="0" quotePrefix="0" xfId="0"/>
    <xf numFmtId="0" fontId="18" fillId="40" borderId="2" applyAlignment="1" pivotButton="0" quotePrefix="0" xfId="0">
      <alignment horizontal="center" wrapText="1"/>
    </xf>
    <xf numFmtId="0" fontId="0" fillId="0" borderId="2" applyAlignment="1" pivotButton="0" quotePrefix="0" xfId="0">
      <alignment vertical="top" wrapText="1"/>
    </xf>
    <xf numFmtId="0" fontId="0" fillId="41" borderId="2" applyAlignment="1" pivotButton="0" quotePrefix="0" xfId="0">
      <alignment vertical="top" wrapText="1"/>
    </xf>
    <xf numFmtId="0" fontId="2" fillId="42" borderId="2" applyAlignment="1" pivotButton="0" quotePrefix="0" xfId="0">
      <alignment horizontal="center" wrapText="1"/>
    </xf>
    <xf numFmtId="0" fontId="31" fillId="43" borderId="2" applyAlignment="1" pivotButton="0" quotePrefix="0" xfId="0">
      <alignment horizontal="center" vertical="center"/>
    </xf>
  </cellXfs>
  <cellStyles count="1">
    <cellStyle name="Normal" xfId="0" builtinId="0" hidden="0"/>
  </cellStyles>
  <dxfs count="4">
    <dxf>
      <font>
        <name val="Arial"/>
        <b val="1"/>
        <color rgb="008B1A1A"/>
        <sz val="11"/>
      </font>
      <fill>
        <patternFill patternType="solid">
          <fgColor rgb="00FDECEA"/>
        </patternFill>
      </fill>
    </dxf>
    <dxf>
      <font>
        <name val="Arial"/>
        <b val="1"/>
        <color rgb="008B1A1A"/>
        <sz val="9"/>
      </font>
      <fill>
        <patternFill patternType="solid">
          <fgColor rgb="00FDECEA"/>
        </patternFill>
      </fill>
    </dxf>
    <dxf>
      <font>
        <name val="Arial"/>
        <color rgb="0000424D"/>
        <sz val="9"/>
      </font>
      <fill>
        <patternFill patternType="solid">
          <fgColor rgb="00D4E8C2"/>
        </patternFill>
      </fill>
    </dxf>
    <dxf>
      <font>
        <name val="Arial"/>
        <b val="1"/>
        <color rgb="0000424D"/>
        <sz val="9"/>
      </font>
      <fill>
        <patternFill patternType="solid">
          <fgColor rgb="00D4E8C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22" customWidth="1" min="1" max="1"/>
    <col width="28" customWidth="1" min="2" max="2"/>
    <col width="16" customWidth="1" min="3" max="3"/>
    <col width="12" customWidth="1" min="4" max="4"/>
    <col width="12" customWidth="1" min="5" max="5"/>
    <col width="10" customWidth="1" min="6" max="6"/>
    <col width="38" customWidth="1" min="7" max="7"/>
  </cols>
  <sheetData>
    <row r="1" ht="28" customHeight="1">
      <c r="A1" s="86" t="inlineStr">
        <is>
          <t>FORUS TOOLKIT — UPDATE DASHBOARD   (last built 2026-03-17  v1.7)</t>
        </is>
      </c>
    </row>
    <row r="3" ht="22" customHeight="1">
      <c r="A3" s="87" t="inlineStr">
        <is>
          <t>⚠  OVER LIMIT — fix these before distributing</t>
        </is>
      </c>
    </row>
    <row r="4" ht="18" customHeight="1">
      <c r="A4" s="88" t="inlineStr">
        <is>
          <t>BLOCK_ID</t>
        </is>
      </c>
      <c r="B4" s="88" t="inlineStr">
        <is>
          <t>SECTION</t>
        </is>
      </c>
      <c r="C4" s="88" t="inlineStr">
        <is>
          <t>BLOCK_TYPE</t>
        </is>
      </c>
      <c r="D4" s="88" t="inlineStr">
        <is>
          <t>WORD_LIMIT</t>
        </is>
      </c>
      <c r="E4" s="88" t="inlineStr">
        <is>
          <t>WORD_COUNT</t>
        </is>
      </c>
      <c r="F4" s="88" t="inlineStr">
        <is>
          <t>OVER_BY</t>
        </is>
      </c>
      <c r="G4" s="88" t="inlineStr">
        <is>
          <t>CONTENT PREVIEW</t>
        </is>
      </c>
    </row>
    <row r="5">
      <c r="A5" s="89" t="inlineStr">
        <is>
          <t>✓  No over-limit rows — all content within limits</t>
        </is>
      </c>
      <c r="B5" s="70" t="n"/>
      <c r="C5" s="70" t="n"/>
      <c r="D5" s="70" t="n"/>
      <c r="E5" s="70" t="n"/>
      <c r="F5" s="70" t="n"/>
      <c r="G5" s="71" t="n"/>
    </row>
    <row r="7" ht="22" customHeight="1">
      <c r="A7" s="90" t="inlineStr">
        <is>
          <t>📅  REVIEW DUE — check these are still accurate</t>
        </is>
      </c>
    </row>
    <row r="8" ht="18" customHeight="1">
      <c r="A8" s="91" t="inlineStr">
        <is>
          <t>BLOCK_ID</t>
        </is>
      </c>
      <c r="B8" s="91" t="inlineStr">
        <is>
          <t>SECTION</t>
        </is>
      </c>
      <c r="C8" s="91" t="inlineStr">
        <is>
          <t>BLOCK_TYPE</t>
        </is>
      </c>
      <c r="D8" s="91" t="inlineStr">
        <is>
          <t>NEXT_REVIEW</t>
        </is>
      </c>
      <c r="E8" s="91" t="inlineStr">
        <is>
          <t>UPDATE_PRIORITY</t>
        </is>
      </c>
      <c r="F8" s="91" t="inlineStr">
        <is>
          <t>LAST_UPDATED</t>
        </is>
      </c>
      <c r="G8" s="91" t="inlineStr">
        <is>
          <t>CONTENT PREVIEW</t>
        </is>
      </c>
    </row>
    <row r="9">
      <c r="A9" s="89" t="inlineStr">
        <is>
          <t>✓  No reviews currently due</t>
        </is>
      </c>
      <c r="B9" s="70" t="n"/>
      <c r="C9" s="70" t="n"/>
      <c r="D9" s="70" t="n"/>
      <c r="E9" s="70" t="n"/>
      <c r="F9" s="70" t="n"/>
      <c r="G9" s="71" t="n"/>
    </row>
    <row r="11" ht="22" customHeight="1">
      <c r="A11" s="92" t="inlineStr">
        <is>
          <t>📊  CONTENT SUMMARY by section</t>
        </is>
      </c>
    </row>
    <row r="12" ht="18" customHeight="1">
      <c r="A12" s="93" t="inlineStr">
        <is>
          <t>SECTION</t>
        </is>
      </c>
      <c r="B12" s="93" t="inlineStr">
        <is>
          <t>TOTAL BLOCKS</t>
        </is>
      </c>
      <c r="C12" s="93" t="inlineStr">
        <is>
          <t>STEPS</t>
        </is>
      </c>
      <c r="D12" s="93" t="inlineStr">
        <is>
          <t>TIPS/WARNINGS</t>
        </is>
      </c>
      <c r="E12" s="93" t="inlineStr">
        <is>
          <t>CHECKLISTS</t>
        </is>
      </c>
      <c r="F12" s="93" t="inlineStr">
        <is>
          <t>OVER LIMIT</t>
        </is>
      </c>
      <c r="G12" s="93" t="inlineStr">
        <is>
          <t>NOTES</t>
        </is>
      </c>
    </row>
    <row r="13" ht="18" customHeight="1">
      <c r="A13" s="130" t="inlineStr">
        <is>
          <t>1.1 Legislative Crisis</t>
        </is>
      </c>
      <c r="B13" s="130" t="n">
        <v>18</v>
      </c>
      <c r="C13" s="130" t="n">
        <v>9</v>
      </c>
      <c r="D13" s="130" t="n">
        <v>3</v>
      </c>
      <c r="E13" s="130" t="n">
        <v>0</v>
      </c>
      <c r="F13" s="130" t="n">
        <v>0</v>
      </c>
      <c r="G13" s="131" t="inlineStr">
        <is>
          <t>✓ all within limits</t>
        </is>
      </c>
    </row>
    <row r="14" ht="18" customHeight="1">
      <c r="A14" s="132" t="inlineStr">
        <is>
          <t>1.2 Funding Shock</t>
        </is>
      </c>
      <c r="B14" s="132" t="n">
        <v>10</v>
      </c>
      <c r="C14" s="132" t="n">
        <v>5</v>
      </c>
      <c r="D14" s="132" t="n">
        <v>2</v>
      </c>
      <c r="E14" s="132" t="n">
        <v>0</v>
      </c>
      <c r="F14" s="132" t="n">
        <v>0</v>
      </c>
      <c r="G14" s="133" t="inlineStr">
        <is>
          <t>✓ all within limits</t>
        </is>
      </c>
    </row>
    <row r="15" ht="18" customHeight="1">
      <c r="A15" s="130" t="inlineStr">
        <is>
          <t>1.3 Digital Repression</t>
        </is>
      </c>
      <c r="B15" s="130" t="n">
        <v>20</v>
      </c>
      <c r="C15" s="130" t="n">
        <v>10</v>
      </c>
      <c r="D15" s="130" t="n">
        <v>3</v>
      </c>
      <c r="E15" s="130" t="n">
        <v>0</v>
      </c>
      <c r="F15" s="130" t="n">
        <v>0</v>
      </c>
      <c r="G15" s="131" t="inlineStr">
        <is>
          <t>✓ all within limits</t>
        </is>
      </c>
    </row>
    <row r="16" ht="18" customHeight="1">
      <c r="A16" s="132" t="inlineStr">
        <is>
          <t>1.4 Stigmatisation &amp; Intimidation</t>
        </is>
      </c>
      <c r="B16" s="132" t="n">
        <v>15</v>
      </c>
      <c r="C16" s="132" t="n">
        <v>9</v>
      </c>
      <c r="D16" s="132" t="n">
        <v>3</v>
      </c>
      <c r="E16" s="132" t="n">
        <v>0</v>
      </c>
      <c r="F16" s="132" t="n">
        <v>0</v>
      </c>
      <c r="G16" s="133" t="inlineStr">
        <is>
          <t>✓ all within limits</t>
        </is>
      </c>
    </row>
    <row r="17" ht="18" customHeight="1">
      <c r="A17" s="130" t="inlineStr">
        <is>
          <t>2. Solidarity Activation</t>
        </is>
      </c>
      <c r="B17" s="130" t="n">
        <v>17</v>
      </c>
      <c r="C17" s="130" t="n">
        <v>6</v>
      </c>
      <c r="D17" s="130" t="n">
        <v>2</v>
      </c>
      <c r="E17" s="130" t="n">
        <v>3</v>
      </c>
      <c r="F17" s="130" t="n">
        <v>0</v>
      </c>
      <c r="G17" s="131" t="inlineStr">
        <is>
          <t>✓ all within limits</t>
        </is>
      </c>
    </row>
    <row r="18" ht="18" customHeight="1">
      <c r="A18" s="132" t="inlineStr">
        <is>
          <t>3. Legal Support Navigator</t>
        </is>
      </c>
      <c r="B18" s="132" t="n">
        <v>15</v>
      </c>
      <c r="C18" s="132" t="n">
        <v>1</v>
      </c>
      <c r="D18" s="132" t="n">
        <v>3</v>
      </c>
      <c r="E18" s="132" t="n">
        <v>0</v>
      </c>
      <c r="F18" s="132" t="n">
        <v>0</v>
      </c>
      <c r="G18" s="133" t="inlineStr">
        <is>
          <t>✓ all within limits</t>
        </is>
      </c>
    </row>
    <row r="19" ht="18" customHeight="1">
      <c r="A19" s="130" t="inlineStr">
        <is>
          <t>4. Emergency Funding Guide</t>
        </is>
      </c>
      <c r="B19" s="130" t="n">
        <v>10</v>
      </c>
      <c r="C19" s="130" t="n">
        <v>3</v>
      </c>
      <c r="D19" s="130" t="n">
        <v>2</v>
      </c>
      <c r="E19" s="130" t="n">
        <v>0</v>
      </c>
      <c r="F19" s="130" t="n">
        <v>0</v>
      </c>
      <c r="G19" s="131" t="inlineStr">
        <is>
          <t>✓ all within limits</t>
        </is>
      </c>
    </row>
    <row r="20" ht="18" customHeight="1">
      <c r="A20" s="132" t="inlineStr">
        <is>
          <t>5. Safe Advocacy &amp; Comms</t>
        </is>
      </c>
      <c r="B20" s="132" t="n">
        <v>13</v>
      </c>
      <c r="C20" s="132" t="n">
        <v>2</v>
      </c>
      <c r="D20" s="132" t="n">
        <v>1</v>
      </c>
      <c r="E20" s="132" t="n">
        <v>4</v>
      </c>
      <c r="F20" s="132" t="n">
        <v>0</v>
      </c>
      <c r="G20" s="133" t="inlineStr">
        <is>
          <t>✓ all within limits</t>
        </is>
      </c>
    </row>
    <row r="21" ht="18" customHeight="1">
      <c r="A21" s="130" t="inlineStr">
        <is>
          <t>6. Diversification &amp; Mutualisation</t>
        </is>
      </c>
      <c r="B21" s="130" t="n">
        <v>20</v>
      </c>
      <c r="C21" s="130" t="n">
        <v>4</v>
      </c>
      <c r="D21" s="130" t="n">
        <v>1</v>
      </c>
      <c r="E21" s="130" t="n">
        <v>6</v>
      </c>
      <c r="F21" s="130" t="n">
        <v>0</v>
      </c>
      <c r="G21" s="131" t="inlineStr">
        <is>
          <t>✓ all within limits</t>
        </is>
      </c>
    </row>
    <row r="22" ht="18" customHeight="1">
      <c r="A22" s="132" t="inlineStr">
        <is>
          <t>7. Help Keep This Toolkit Current</t>
        </is>
      </c>
      <c r="B22" s="132" t="n">
        <v>7</v>
      </c>
      <c r="C22" s="132" t="n">
        <v>0</v>
      </c>
      <c r="D22" s="132" t="n">
        <v>1</v>
      </c>
      <c r="E22" s="132" t="n">
        <v>4</v>
      </c>
      <c r="F22" s="132" t="n">
        <v>0</v>
      </c>
      <c r="G22" s="133" t="inlineStr">
        <is>
          <t>✓ all within limits</t>
        </is>
      </c>
    </row>
    <row r="23" ht="18" customHeight="1">
      <c r="A23" s="130" t="inlineStr">
        <is>
          <t>Annex A: Legal Pro Bono Support</t>
        </is>
      </c>
      <c r="B23" s="130" t="n">
        <v>20</v>
      </c>
      <c r="C23" s="130" t="n">
        <v>0</v>
      </c>
      <c r="D23" s="130" t="n">
        <v>0</v>
      </c>
      <c r="E23" s="130" t="n">
        <v>0</v>
      </c>
      <c r="F23" s="130" t="n">
        <v>0</v>
      </c>
      <c r="G23" s="131" t="inlineStr">
        <is>
          <t>✓ all within limits</t>
        </is>
      </c>
    </row>
    <row r="24" ht="18" customHeight="1">
      <c r="A24" s="132" t="inlineStr">
        <is>
          <t>Annex B: Emergency Grants Mechanisms</t>
        </is>
      </c>
      <c r="B24" s="132" t="n">
        <v>15</v>
      </c>
      <c r="C24" s="132" t="n">
        <v>0</v>
      </c>
      <c r="D24" s="132" t="n">
        <v>0</v>
      </c>
      <c r="E24" s="132" t="n">
        <v>0</v>
      </c>
      <c r="F24" s="132" t="n">
        <v>0</v>
      </c>
      <c r="G24" s="133" t="inlineStr">
        <is>
          <t>✓ all within limits</t>
        </is>
      </c>
    </row>
    <row r="25" ht="18" customHeight="1">
      <c r="A25" s="130" t="inlineStr">
        <is>
          <t>Annex C: Physical &amp; Digital Security Support</t>
        </is>
      </c>
      <c r="B25" s="130" t="n">
        <v>19</v>
      </c>
      <c r="C25" s="130" t="n">
        <v>0</v>
      </c>
      <c r="D25" s="130" t="n">
        <v>0</v>
      </c>
      <c r="E25" s="130" t="n">
        <v>0</v>
      </c>
      <c r="F25" s="130" t="n">
        <v>0</v>
      </c>
      <c r="G25" s="131" t="inlineStr">
        <is>
          <t>✓ all within limits</t>
        </is>
      </c>
    </row>
    <row r="27" ht="22" customHeight="1">
      <c r="A27" s="61" t="inlineStr">
        <is>
          <t>📝  WORD LIMITS — default per block type (override in column I of CONTENT sheet)</t>
        </is>
      </c>
    </row>
    <row r="28" ht="18" customHeight="1">
      <c r="A28" s="62" t="inlineStr">
        <is>
          <t>DECISION-A</t>
        </is>
      </c>
      <c r="B28" s="63" t="n">
        <v>8</v>
      </c>
      <c r="C28" s="62" t="inlineStr">
        <is>
          <t>HEADER</t>
        </is>
      </c>
      <c r="D28" s="63" t="n">
        <v>10</v>
      </c>
      <c r="E28" s="62" t="inlineStr">
        <is>
          <t>SUBSECTION</t>
        </is>
      </c>
      <c r="F28" s="63" t="n">
        <v>12</v>
      </c>
      <c r="G28" s="62" t="inlineStr">
        <is>
          <t>MECHANISM-REF</t>
        </is>
      </c>
      <c r="H28" s="63" t="n">
        <v>15</v>
      </c>
    </row>
    <row r="29" ht="18" customHeight="1">
      <c r="A29" s="62" t="inlineStr">
        <is>
          <t>DECISION-Q</t>
        </is>
      </c>
      <c r="B29" s="63" t="n">
        <v>20</v>
      </c>
      <c r="C29" s="62" t="inlineStr">
        <is>
          <t>CHECKLIST</t>
        </is>
      </c>
      <c r="D29" s="63" t="n">
        <v>20</v>
      </c>
      <c r="E29" s="62" t="inlineStr">
        <is>
          <t>PEER-CONNECT</t>
        </is>
      </c>
      <c r="F29" s="63" t="n">
        <v>20</v>
      </c>
      <c r="G29" s="62" t="inlineStr">
        <is>
          <t>STEP</t>
        </is>
      </c>
      <c r="H29" s="63" t="n">
        <v>25</v>
      </c>
    </row>
    <row r="30" ht="18" customHeight="1">
      <c r="A30" s="62" t="inlineStr">
        <is>
          <t>TIP</t>
        </is>
      </c>
      <c r="B30" s="63" t="n">
        <v>35</v>
      </c>
      <c r="C30" s="62" t="inlineStr">
        <is>
          <t>WARNING</t>
        </is>
      </c>
      <c r="D30" s="63" t="n">
        <v>35</v>
      </c>
      <c r="E30" s="62" t="inlineStr">
        <is>
          <t>DB-REF</t>
        </is>
      </c>
      <c r="F30" s="63" t="n">
        <v>40</v>
      </c>
      <c r="G30" s="62" t="inlineStr">
        <is>
          <t>INTRO</t>
        </is>
      </c>
      <c r="H30" s="63" t="n">
        <v>60</v>
      </c>
    </row>
    <row r="31" ht="18" customHeight="1">
      <c r="A31" s="62" t="inlineStr">
        <is>
          <t>CASE</t>
        </is>
      </c>
      <c r="B31" s="63" t="n">
        <v>60</v>
      </c>
      <c r="C31" s="62" t="inlineStr">
        <is>
          <t>REGION-NAV</t>
        </is>
      </c>
      <c r="D31" s="63" t="n">
        <v>80</v>
      </c>
      <c r="E31" s="62" t="inlineStr">
        <is>
          <t>COUNTRY-ENTRY</t>
        </is>
      </c>
      <c r="F31" s="63" t="n">
        <v>80</v>
      </c>
      <c r="G31" s="62" t="inlineStr">
        <is>
          <t>TEMPLATE</t>
        </is>
      </c>
      <c r="H31" s="63" t="n">
        <v>120</v>
      </c>
    </row>
    <row r="32" ht="18" customHeight="1">
      <c r="A32" s="62" t="inlineStr">
        <is>
          <t>FEEDBACK</t>
        </is>
      </c>
      <c r="B32" s="63" t="n">
        <v>120</v>
      </c>
    </row>
  </sheetData>
  <mergeCells count="7">
    <mergeCell ref="A1:G1"/>
    <mergeCell ref="A9:G9"/>
    <mergeCell ref="A27:G27"/>
    <mergeCell ref="A3:G3"/>
    <mergeCell ref="A7:G7"/>
    <mergeCell ref="A11:G11"/>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2" customWidth="1" min="3" max="3"/>
    <col width="14" customWidth="1" min="4" max="4"/>
    <col width="30" customWidth="1" min="5" max="5"/>
    <col width="16" customWidth="1" min="6" max="6"/>
    <col width="16" customWidth="1" min="7" max="7"/>
    <col width="16" customWidth="1" min="8" max="8"/>
    <col width="40" customWidth="1" min="9" max="9"/>
    <col width="40" customWidth="1" min="10" max="10"/>
    <col width="40" customWidth="1" min="11" max="11"/>
    <col width="30" customWidth="1" min="12" max="12"/>
    <col width="10" customWidth="1" min="13" max="13"/>
    <col width="12" customWidth="1" min="14" max="14"/>
    <col width="30" customWidth="1" min="15" max="15"/>
    <col width="14" customWidth="1" min="16" max="16"/>
    <col width="12" customWidth="1" min="17" max="17"/>
  </cols>
  <sheetData>
    <row r="1" ht="30" customHeight="1">
      <c r="A1" s="134" t="inlineStr">
        <is>
          <t>REVIEW QUEUE -- Select YES in the Approve column to accept a change, then run: python forus_updater.py apply</t>
        </is>
      </c>
    </row>
    <row r="2">
      <c r="A2" s="138" t="inlineStr">
        <is>
          <t>approve</t>
        </is>
      </c>
      <c r="B2" s="135" t="inlineStr">
        <is>
          <t>review_id</t>
        </is>
      </c>
      <c r="C2" s="135" t="inlineStr">
        <is>
          <t>date_flagged</t>
        </is>
      </c>
      <c r="D2" s="135" t="inlineStr">
        <is>
          <t>mech_id</t>
        </is>
      </c>
      <c r="E2" s="135" t="inlineStr">
        <is>
          <t>mechanism_name</t>
        </is>
      </c>
      <c r="F2" s="135" t="inlineStr">
        <is>
          <t>category</t>
        </is>
      </c>
      <c r="G2" s="135" t="inlineStr">
        <is>
          <t>change_type</t>
        </is>
      </c>
      <c r="H2" s="135" t="inlineStr">
        <is>
          <t>field</t>
        </is>
      </c>
      <c r="I2" s="135" t="inlineStr">
        <is>
          <t>current_value</t>
        </is>
      </c>
      <c r="J2" s="135" t="inlineStr">
        <is>
          <t>proposed_value</t>
        </is>
      </c>
      <c r="K2" s="135" t="inlineStr">
        <is>
          <t>reason</t>
        </is>
      </c>
      <c r="L2" s="135" t="inlineStr">
        <is>
          <t>source_url</t>
        </is>
      </c>
      <c r="M2" s="135" t="inlineStr">
        <is>
          <t>confidence</t>
        </is>
      </c>
      <c r="N2" s="135" t="inlineStr">
        <is>
          <t>status</t>
        </is>
      </c>
      <c r="O2" s="135" t="inlineStr">
        <is>
          <t>reviewer_notes</t>
        </is>
      </c>
      <c r="P2" s="135" t="inlineStr">
        <is>
          <t>reviewed_by</t>
        </is>
      </c>
      <c r="Q2" s="135" t="inlineStr">
        <is>
          <t>reviewed_date</t>
        </is>
      </c>
    </row>
    <row r="3">
      <c r="A3" s="139" t="inlineStr"/>
      <c r="B3" s="136" t="inlineStr">
        <is>
          <t>RQ-0001</t>
        </is>
      </c>
      <c r="C3" s="136" t="inlineStr">
        <is>
          <t>2026-03-17</t>
        </is>
      </c>
      <c r="D3" s="136" t="inlineStr">
        <is>
          <t>MECH-D-001</t>
        </is>
      </c>
      <c r="E3" s="136" t="inlineStr">
        <is>
          <t>Access Now Digital Security Helpline</t>
        </is>
      </c>
      <c r="F3" s="136" t="inlineStr">
        <is>
          <t>digital-security</t>
        </is>
      </c>
      <c r="G3" s="136" t="inlineStr">
        <is>
          <t>UPDATED_INFO</t>
        </is>
      </c>
      <c r="H3" s="136" t="inlineStr">
        <is>
          <t>how_to_access</t>
        </is>
      </c>
      <c r="I3" s="136" t="inlineStr">
        <is>
          <t>1. Go to accessnow.org/help. 2. Submit request via encrypted form (uses PGP). 3. Access Now team responds — for emergencies, flag as urgent. Also available via Signal: check current number on their site.</t>
        </is>
      </c>
      <c r="J3" s="136" t="inlineStr">
        <is>
          <t>1. Go to accessnow.org/help. 2. Submit request via encrypted form (uses PGP). 3. Access Now team responds — for emergencies, flag as urgent. Also available via Signal and other secure channels: check current details on their site.</t>
        </is>
      </c>
      <c r="K3" s="136" t="inlineStr">
        <is>
          <t>Current documentation shows they support multiple secure communication channels beyond just Signal, including PGP, Wire.com, XMPP/OTR</t>
        </is>
      </c>
      <c r="L3" s="136" t="inlineStr">
        <is>
          <t>https://communitydocs.accessnow.org/256-response_first-time_client.html</t>
        </is>
      </c>
      <c r="M3" s="136" t="inlineStr">
        <is>
          <t>HIGH</t>
        </is>
      </c>
      <c r="N3" s="137" t="inlineStr">
        <is>
          <t>PENDING</t>
        </is>
      </c>
      <c r="O3" s="136" t="inlineStr"/>
      <c r="P3" s="136" t="inlineStr"/>
      <c r="Q3" s="136" t="inlineStr"/>
    </row>
    <row r="4">
      <c r="A4" s="139" t="inlineStr"/>
      <c r="B4" s="136" t="inlineStr">
        <is>
          <t>RQ-0002</t>
        </is>
      </c>
      <c r="C4" s="136" t="inlineStr">
        <is>
          <t>2026-03-17</t>
        </is>
      </c>
      <c r="D4" s="136" t="inlineStr">
        <is>
          <t>MECH-D-001</t>
        </is>
      </c>
      <c r="E4" s="136" t="inlineStr">
        <is>
          <t>Access Now Digital Security Helpline</t>
        </is>
      </c>
      <c r="F4" s="136" t="inlineStr">
        <is>
          <t>digital-security</t>
        </is>
      </c>
      <c r="G4" s="136" t="inlineStr">
        <is>
          <t>UPDATED_INFO</t>
        </is>
      </c>
      <c r="H4" s="136" t="inlineStr">
        <is>
          <t>timeframe</t>
        </is>
      </c>
      <c r="I4" s="136" t="inlineStr">
        <is>
          <t>Initial response: 24-48 hours for standard requests. Emergency/urgent flagged requests: same day or next business day in most regions.</t>
        </is>
      </c>
      <c r="J4" s="136" t="inlineStr">
        <is>
          <t>Initial response: 2 hours for all requests. Emergency/urgent flagged requests receive priority handling within the same rapid timeframe.</t>
        </is>
      </c>
      <c r="K4" s="136" t="inlineStr">
        <is>
          <t>Current website clearly states they respond to all requests within two hours</t>
        </is>
      </c>
      <c r="L4" s="136" t="inlineStr">
        <is>
          <t>https://www.accessnow.org/help/</t>
        </is>
      </c>
      <c r="M4" s="136" t="inlineStr">
        <is>
          <t>HIGH</t>
        </is>
      </c>
      <c r="N4" s="137" t="inlineStr">
        <is>
          <t>PENDING</t>
        </is>
      </c>
      <c r="O4" s="136" t="inlineStr"/>
      <c r="P4" s="136" t="inlineStr"/>
      <c r="Q4" s="136" t="inlineStr"/>
    </row>
    <row r="5">
      <c r="A5" s="139" t="inlineStr"/>
      <c r="B5" s="136" t="inlineStr">
        <is>
          <t>RQ-0003</t>
        </is>
      </c>
      <c r="C5" s="136" t="inlineStr">
        <is>
          <t>2026-03-17</t>
        </is>
      </c>
      <c r="D5" s="136" t="inlineStr">
        <is>
          <t>MECH-D-001</t>
        </is>
      </c>
      <c r="E5" s="136" t="inlineStr">
        <is>
          <t>Access Now Digital Security Helpline</t>
        </is>
      </c>
      <c r="F5" s="136" t="inlineStr">
        <is>
          <t>digital-security</t>
        </is>
      </c>
      <c r="G5" s="136" t="inlineStr">
        <is>
          <t>UPDATED_INFO</t>
        </is>
      </c>
      <c r="H5" s="136" t="inlineStr">
        <is>
          <t>eligibility_note</t>
        </is>
      </c>
      <c r="I5" s="136" t="inlineStr">
        <is>
          <t>Explicitly serves organisations including networks and platforms, not only individuals. Available in multiple languages. Particularly strong for digital incident response, secure communications advice, and threat assessment.</t>
        </is>
      </c>
      <c r="J5" s="136" t="inlineStr">
        <is>
          <t>Explicitly serves organisations including networks and platforms, not only individuals. Available in 10 languages: English, Spanish, French, German, Portuguese, Russian, Tagalog, Arabic, Italian, and Ukrainian. Particularly strong for digital incident response, secure communications advice, and threat assessment.</t>
        </is>
      </c>
      <c r="K5" s="136" t="inlineStr">
        <is>
          <t>Specific language list now available showing 10 languages instead of generic 'multiple languages'</t>
        </is>
      </c>
      <c r="L5" s="136" t="inlineStr">
        <is>
          <t>https://www.accessnow.org/help/</t>
        </is>
      </c>
      <c r="M5" s="136" t="inlineStr">
        <is>
          <t>HIGH</t>
        </is>
      </c>
      <c r="N5" s="137" t="inlineStr">
        <is>
          <t>PENDING</t>
        </is>
      </c>
      <c r="O5" s="136" t="inlineStr"/>
      <c r="P5" s="136" t="inlineStr"/>
      <c r="Q5" s="136" t="inlineStr"/>
    </row>
  </sheetData>
  <mergeCells count="1">
    <mergeCell ref="A1:Q1"/>
  </mergeCells>
  <dataValidations count="1">
    <dataValidation sqref="A3:A200" showDropDown="0" showInputMessage="0" showErrorMessage="0" allowBlank="1" errorTitle="Invalid" error="Please select YES or NO" promptTitle="Approve?" prompt="Select YES to approve this change" type="list">
      <formula1>"YES,NO"</formula1>
    </dataValidation>
  </dataValidations>
  <pageMargins left="0.75" right="0.75" top="1" bottom="1" header="0.5" footer="0.5"/>
</worksheet>
</file>

<file path=xl/worksheets/sheet3.xml><?xml version="1.0" encoding="utf-8"?>
<worksheet xmlns="http://schemas.openxmlformats.org/spreadsheetml/2006/main">
  <sheetPr>
    <tabColor rgb="002D5016"/>
    <outlinePr summaryBelow="1" summaryRight="1"/>
    <pageSetUpPr/>
  </sheetPr>
  <dimension ref="A1:R202"/>
  <sheetViews>
    <sheetView showGridLines="0" workbookViewId="0">
      <pane xSplit="7" ySplit="2" topLeftCell="H3"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8" customWidth="1" min="1" max="1"/>
    <col width="6" customWidth="1" min="2" max="2"/>
    <col width="30" customWidth="1" min="3" max="3"/>
    <col hidden="1" width="22" customWidth="1" min="4" max="4"/>
    <col width="16" customWidth="1" min="5" max="5"/>
    <col width="16" customWidth="1" min="6" max="6"/>
    <col hidden="1" width="8" customWidth="1" min="7" max="7"/>
    <col width="70" customWidth="1" min="8" max="8"/>
    <col width="10" customWidth="1" min="9" max="9"/>
    <col width="10" customWidth="1" min="10" max="10"/>
    <col width="10" customWidth="1" min="11" max="11"/>
    <col hidden="1" width="12" customWidth="1" min="12" max="12"/>
    <col hidden="1" width="12" customWidth="1" min="13" max="13"/>
    <col hidden="1" width="14" customWidth="1" min="14" max="14"/>
    <col hidden="1" width="12" customWidth="1" min="15" max="15"/>
    <col hidden="1" width="8" customWidth="1" min="16" max="16"/>
    <col hidden="1" width="8" customWidth="1" min="17" max="17"/>
    <col hidden="1" width="28" customWidth="1" min="18" max="18"/>
  </cols>
  <sheetData>
    <row r="1" ht="32" customHeight="1">
      <c r="A1" s="1" t="inlineStr">
        <is>
          <t>FORUS RESILIENCE TOOLKIT — Content Database (Sheet 1 of 5)</t>
        </is>
      </c>
    </row>
    <row r="2" ht="52" customHeight="1">
      <c r="A2" s="2" t="inlineStr">
        <is>
          <t>block_id</t>
        </is>
      </c>
      <c r="B2" s="2" t="inlineStr">
        <is>
          <t>part</t>
        </is>
      </c>
      <c r="C2" s="2" t="inlineStr">
        <is>
          <t>section</t>
        </is>
      </c>
      <c r="D2" s="2" t="inlineStr">
        <is>
          <t>scenario</t>
        </is>
      </c>
      <c r="E2" s="2" t="inlineStr">
        <is>
          <t>time_horizon</t>
        </is>
      </c>
      <c r="F2" s="2" t="inlineStr">
        <is>
          <t>block_type</t>
        </is>
      </c>
      <c r="G2" s="2" t="inlineStr">
        <is>
          <t>sensitivity</t>
        </is>
      </c>
      <c r="H2" s="2" t="inlineStr">
        <is>
          <t>content_text</t>
        </is>
      </c>
      <c r="I2" s="2" t="inlineStr">
        <is>
          <t>word_limit</t>
        </is>
      </c>
      <c r="J2" s="2" t="inlineStr">
        <is>
          <t>word_count</t>
        </is>
      </c>
      <c r="K2" s="2" t="inlineStr">
        <is>
          <t>within_limit</t>
        </is>
      </c>
      <c r="L2" s="2" t="inlineStr">
        <is>
          <t>update_priority</t>
        </is>
      </c>
      <c r="M2" s="2" t="inlineStr">
        <is>
          <t>last_updated</t>
        </is>
      </c>
      <c r="N2" s="2" t="inlineStr">
        <is>
          <t>updated_by</t>
        </is>
      </c>
      <c r="O2" s="2" t="inlineStr">
        <is>
          <t>next_review</t>
        </is>
      </c>
      <c r="P2" s="2" t="inlineStr">
        <is>
          <t>language</t>
        </is>
      </c>
      <c r="Q2" s="2" t="inlineStr">
        <is>
          <t>display_order</t>
        </is>
      </c>
      <c r="R2" s="2" t="inlineStr">
        <is>
          <t>editor_notes</t>
        </is>
      </c>
    </row>
    <row r="3" ht="40" customHeight="1">
      <c r="A3" s="6" t="inlineStr">
        <is>
          <t>P1-S1-SUB-PRE</t>
        </is>
      </c>
      <c r="B3" s="6" t="n">
        <v>1</v>
      </c>
      <c r="C3" s="6" t="inlineStr">
        <is>
          <t>1.1 Legislative Crisis</t>
        </is>
      </c>
      <c r="D3" s="6" t="inlineStr">
        <is>
          <t>legislation</t>
        </is>
      </c>
      <c r="E3" s="6" t="inlineStr">
        <is>
          <t>preemptive</t>
        </is>
      </c>
      <c r="F3" s="45" t="inlineStr">
        <is>
          <t>SUBSECTION</t>
        </is>
      </c>
      <c r="G3" s="6" t="n">
        <v>1</v>
      </c>
      <c r="H3" s="6" t="inlineStr">
        <is>
          <t>Lorem ipsum dolor sit amet consectetur adipiscing elit sed</t>
        </is>
      </c>
      <c r="I3" s="6" t="n">
        <v>12</v>
      </c>
      <c r="J3" s="102">
        <f>IF(TRIM(H3)="",0,LEN(TRIM(H3))-LEN(SUBSTITUTE(TRIM(H3)," ",""))+1)</f>
        <v/>
      </c>
      <c r="K3" s="103">
        <f>IF(J3&gt;I3,"OVER ↑","✓")</f>
        <v/>
      </c>
      <c r="L3" s="6" t="inlineStr">
        <is>
          <t>STABLE</t>
        </is>
      </c>
      <c r="M3" s="6" t="inlineStr">
        <is>
          <t>2026-02-17</t>
        </is>
      </c>
      <c r="N3" s="6" t="inlineStr">
        <is>
          <t>J.Cranshaw</t>
        </is>
      </c>
      <c r="O3" s="6" t="inlineStr">
        <is>
          <t>2028-02-17</t>
        </is>
      </c>
      <c r="P3" s="6" t="inlineStr">
        <is>
          <t>EN</t>
        </is>
      </c>
      <c r="Q3" s="6" t="n">
        <v>0</v>
      </c>
      <c r="R3" s="6" t="inlineStr">
        <is>
          <t>Divider — always display_order 0 within preemptive horizon</t>
        </is>
      </c>
    </row>
    <row r="4" ht="40" customHeight="1">
      <c r="A4" s="3" t="inlineStr">
        <is>
          <t>P1-S1-PRE-001</t>
        </is>
      </c>
      <c r="B4" s="3" t="n">
        <v>1</v>
      </c>
      <c r="C4" s="3" t="inlineStr">
        <is>
          <t>1.1 Legislative Crisis</t>
        </is>
      </c>
      <c r="D4" s="3" t="inlineStr">
        <is>
          <t>legislation</t>
        </is>
      </c>
      <c r="E4" s="3" t="inlineStr">
        <is>
          <t>preemptive</t>
        </is>
      </c>
      <c r="F4" s="7" t="inlineStr">
        <is>
          <t>STEP</t>
        </is>
      </c>
      <c r="G4" s="3" t="n">
        <v>1</v>
      </c>
      <c r="H4" s="3" t="inlineStr">
        <is>
          <t>Lorem ipsum dolor sit amet consectetur adipiscing elit sed do eiusmod tempor incididunt ut labore et dolore magna</t>
        </is>
      </c>
      <c r="I4" s="3" t="n">
        <v>25</v>
      </c>
      <c r="J4" s="104">
        <f>IF(TRIM(H4)="",0,LEN(TRIM(H4))-LEN(SUBSTITUTE(TRIM(H4)," ",""))+1)</f>
        <v/>
      </c>
      <c r="K4" s="103">
        <f>IF(J4&gt;I4,"OVER ↑","✓")</f>
        <v/>
      </c>
      <c r="L4" s="3" t="inlineStr">
        <is>
          <t>STABLE</t>
        </is>
      </c>
      <c r="M4" s="3" t="inlineStr">
        <is>
          <t>2026-02-17</t>
        </is>
      </c>
      <c r="N4" s="3" t="inlineStr">
        <is>
          <t>J.Cranshaw</t>
        </is>
      </c>
      <c r="O4" s="3" t="inlineStr">
        <is>
          <t>2028-02-17</t>
        </is>
      </c>
      <c r="P4" s="3" t="inlineStr">
        <is>
          <t>EN</t>
        </is>
      </c>
      <c r="Q4" s="3" t="n">
        <v>1</v>
      </c>
      <c r="R4" s="3" t="n"/>
    </row>
    <row r="5" ht="40" customHeight="1">
      <c r="A5" s="6" t="inlineStr">
        <is>
          <t>P1-S1-PRE-002</t>
        </is>
      </c>
      <c r="B5" s="6" t="n">
        <v>1</v>
      </c>
      <c r="C5" s="6" t="inlineStr">
        <is>
          <t>1.1 Legislative Crisis</t>
        </is>
      </c>
      <c r="D5" s="6" t="inlineStr">
        <is>
          <t>legislation</t>
        </is>
      </c>
      <c r="E5" s="6" t="inlineStr">
        <is>
          <t>preemptive</t>
        </is>
      </c>
      <c r="F5" s="7" t="inlineStr">
        <is>
          <t>STEP</t>
        </is>
      </c>
      <c r="G5" s="6" t="n">
        <v>1</v>
      </c>
      <c r="H5" s="6" t="inlineStr">
        <is>
          <t>Lorem ipsum dolor sit amet consectetur adipiscing elit sed do eiusmod tempor incididunt ut labore et dolore magna</t>
        </is>
      </c>
      <c r="I5" s="6" t="n">
        <v>25</v>
      </c>
      <c r="J5" s="102">
        <f>IF(TRIM(H5)="",0,LEN(TRIM(H5))-LEN(SUBSTITUTE(TRIM(H5)," ",""))+1)</f>
        <v/>
      </c>
      <c r="K5" s="103">
        <f>IF(J5&gt;I5,"OVER ↑","✓")</f>
        <v/>
      </c>
      <c r="L5" s="6" t="inlineStr">
        <is>
          <t>STABLE</t>
        </is>
      </c>
      <c r="M5" s="6" t="inlineStr">
        <is>
          <t>2026-02-17</t>
        </is>
      </c>
      <c r="N5" s="6" t="inlineStr">
        <is>
          <t>J.Cranshaw</t>
        </is>
      </c>
      <c r="O5" s="6" t="inlineStr">
        <is>
          <t>2028-02-17</t>
        </is>
      </c>
      <c r="P5" s="6" t="inlineStr">
        <is>
          <t>EN</t>
        </is>
      </c>
      <c r="Q5" s="6" t="n">
        <v>2</v>
      </c>
      <c r="R5" s="6" t="n"/>
    </row>
    <row r="6" ht="40" customHeight="1">
      <c r="A6" s="3" t="inlineStr">
        <is>
          <t>P1-S1-PRE-003</t>
        </is>
      </c>
      <c r="B6" s="3" t="n">
        <v>1</v>
      </c>
      <c r="C6" s="3" t="inlineStr">
        <is>
          <t>1.1 Legislative Crisis</t>
        </is>
      </c>
      <c r="D6" s="3" t="inlineStr">
        <is>
          <t>legislation</t>
        </is>
      </c>
      <c r="E6" s="3" t="inlineStr">
        <is>
          <t>preemptive</t>
        </is>
      </c>
      <c r="F6" s="7" t="inlineStr">
        <is>
          <t>STEP</t>
        </is>
      </c>
      <c r="G6" s="3" t="n">
        <v>1</v>
      </c>
      <c r="H6" s="3" t="inlineStr">
        <is>
          <t>Lorem ipsum dolor sit amet consectetur adipiscing elit sed do eiusmod tempor incididunt ut labore et dolore magna</t>
        </is>
      </c>
      <c r="I6" s="3" t="n">
        <v>25</v>
      </c>
      <c r="J6" s="104">
        <f>IF(TRIM(H6)="",0,LEN(TRIM(H6))-LEN(SUBSTITUTE(TRIM(H6)," ",""))+1)</f>
        <v/>
      </c>
      <c r="K6" s="103">
        <f>IF(J6&gt;I6,"OVER ↑","✓")</f>
        <v/>
      </c>
      <c r="L6" s="3" t="inlineStr">
        <is>
          <t>STABLE</t>
        </is>
      </c>
      <c r="M6" s="3" t="inlineStr">
        <is>
          <t>2026-02-17</t>
        </is>
      </c>
      <c r="N6" s="3" t="inlineStr">
        <is>
          <t>J.Cranshaw</t>
        </is>
      </c>
      <c r="O6" s="3" t="inlineStr">
        <is>
          <t>2028-02-17</t>
        </is>
      </c>
      <c r="P6" s="3" t="inlineStr">
        <is>
          <t>EN</t>
        </is>
      </c>
      <c r="Q6" s="3" t="n">
        <v>3</v>
      </c>
      <c r="R6" s="3" t="n"/>
    </row>
    <row r="7" ht="40" customHeight="1">
      <c r="A7" s="6" t="inlineStr">
        <is>
          <t>P1-S1-PRE-TIP</t>
        </is>
      </c>
      <c r="B7" s="6" t="n">
        <v>1</v>
      </c>
      <c r="C7" s="6" t="inlineStr">
        <is>
          <t>1.1 Legislative Crisis</t>
        </is>
      </c>
      <c r="D7" s="6" t="inlineStr">
        <is>
          <t>legislation</t>
        </is>
      </c>
      <c r="E7" s="6" t="inlineStr">
        <is>
          <t>preemptive</t>
        </is>
      </c>
      <c r="F7" s="9" t="inlineStr">
        <is>
          <t>TIP</t>
        </is>
      </c>
      <c r="G7" s="6" t="n">
        <v>1</v>
      </c>
      <c r="H7" s="6" t="inlineStr">
        <is>
          <t>Lorem ipsum dolor sit amet consectetur adipiscing elit sed do eiusmod tempor incididunt ut labore et dolore magna aliqua ut enim ad minim veniam quis nostrud</t>
        </is>
      </c>
      <c r="I7" s="6" t="n">
        <v>35</v>
      </c>
      <c r="J7" s="102">
        <f>IF(TRIM(H7)="",0,LEN(TRIM(H7))-LEN(SUBSTITUTE(TRIM(H7)," ",""))+1)</f>
        <v/>
      </c>
      <c r="K7" s="103">
        <f>IF(J7&gt;I7,"OVER ↑","✓")</f>
        <v/>
      </c>
      <c r="L7" s="6" t="inlineStr">
        <is>
          <t>HIGH-CHURN</t>
        </is>
      </c>
      <c r="M7" s="6" t="inlineStr">
        <is>
          <t>2026-02-17</t>
        </is>
      </c>
      <c r="N7" s="6" t="inlineStr">
        <is>
          <t>J.Cranshaw</t>
        </is>
      </c>
      <c r="O7" s="6" t="inlineStr">
        <is>
          <t>2027-02-17</t>
        </is>
      </c>
      <c r="P7" s="6" t="inlineStr">
        <is>
          <t>EN</t>
        </is>
      </c>
      <c r="Q7" s="6" t="n">
        <v>4</v>
      </c>
      <c r="R7" s="6" t="n"/>
    </row>
    <row r="8" ht="40" customHeight="1">
      <c r="A8" s="3" t="inlineStr">
        <is>
          <t>P1-S1-INTRO-001</t>
        </is>
      </c>
      <c r="B8" s="3" t="n">
        <v>1</v>
      </c>
      <c r="C8" s="3" t="inlineStr">
        <is>
          <t>1.1 Legislative Crisis</t>
        </is>
      </c>
      <c r="D8" s="3" t="inlineStr">
        <is>
          <t>legislation</t>
        </is>
      </c>
      <c r="E8" s="3" t="inlineStr">
        <is>
          <t>general</t>
        </is>
      </c>
      <c r="F8" s="4" t="inlineStr">
        <is>
          <t>INTRO</t>
        </is>
      </c>
      <c r="G8" s="3" t="n">
        <v>1</v>
      </c>
      <c r="H8" s="3"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t>
        </is>
      </c>
      <c r="I8" s="3" t="n">
        <v>60</v>
      </c>
      <c r="J8" s="104">
        <f>IF(TRIM(H8)="",0,LEN(TRIM(H8))-LEN(SUBSTITUTE(TRIM(H8)," ",""))+1)</f>
        <v/>
      </c>
      <c r="K8" s="105">
        <f>IF(J8&gt;I8,"OVER ↑","✓")</f>
        <v/>
      </c>
      <c r="L8" s="3" t="inlineStr">
        <is>
          <t>STABLE</t>
        </is>
      </c>
      <c r="M8" s="3" t="inlineStr">
        <is>
          <t>2026-02-17</t>
        </is>
      </c>
      <c r="N8" s="3" t="inlineStr">
        <is>
          <t>J.Cranshaw</t>
        </is>
      </c>
      <c r="O8" s="3" t="inlineStr">
        <is>
          <t>2028-02-17</t>
        </is>
      </c>
      <c r="P8" s="3" t="inlineStr">
        <is>
          <t>EN</t>
        </is>
      </c>
      <c r="Q8" s="3" t="n">
        <v>1</v>
      </c>
      <c r="R8" s="3" t="inlineStr">
        <is>
          <t>Core framing — only update if scenario typology changes</t>
        </is>
      </c>
    </row>
    <row r="9" ht="40" customHeight="1">
      <c r="A9" s="6" t="inlineStr">
        <is>
          <t>P1-S1-STEP-001</t>
        </is>
      </c>
      <c r="B9" s="6" t="n">
        <v>1</v>
      </c>
      <c r="C9" s="6" t="inlineStr">
        <is>
          <t>1.1 Legislative Crisis</t>
        </is>
      </c>
      <c r="D9" s="6" t="inlineStr">
        <is>
          <t>legislation</t>
        </is>
      </c>
      <c r="E9" s="6" t="inlineStr">
        <is>
          <t>first-hour</t>
        </is>
      </c>
      <c r="F9" s="7" t="inlineStr">
        <is>
          <t>STEP</t>
        </is>
      </c>
      <c r="G9" s="6" t="n">
        <v>1</v>
      </c>
      <c r="H9" s="6" t="inlineStr">
        <is>
          <t>Lorem ipsum dolor sit amet consectetur adipiscing elit sed do eiusmod tempor incididunt ut labore et dolore magna</t>
        </is>
      </c>
      <c r="I9" s="6" t="n">
        <v>25</v>
      </c>
      <c r="J9" s="102">
        <f>IF(TRIM(H9)="",0,LEN(TRIM(H9))-LEN(SUBSTITUTE(TRIM(H9)," ",""))+1)</f>
        <v/>
      </c>
      <c r="K9" s="105">
        <f>IF(J9&gt;I9,"OVER ↑","✓")</f>
        <v/>
      </c>
      <c r="L9" s="6" t="inlineStr">
        <is>
          <t>STABLE</t>
        </is>
      </c>
      <c r="M9" s="6" t="inlineStr">
        <is>
          <t>2026-02-17</t>
        </is>
      </c>
      <c r="N9" s="6" t="inlineStr">
        <is>
          <t>J.Cranshaw</t>
        </is>
      </c>
      <c r="O9" s="6" t="inlineStr">
        <is>
          <t>2028-02-17</t>
        </is>
      </c>
      <c r="P9" s="6" t="inlineStr">
        <is>
          <t>EN</t>
        </is>
      </c>
      <c r="Q9" s="6" t="n">
        <v>2</v>
      </c>
      <c r="R9" s="6" t="n"/>
    </row>
    <row r="10" ht="40" customHeight="1">
      <c r="A10" s="3" t="inlineStr">
        <is>
          <t>P1-S1-STEP-002</t>
        </is>
      </c>
      <c r="B10" s="3" t="n">
        <v>1</v>
      </c>
      <c r="C10" s="3" t="inlineStr">
        <is>
          <t>1.1 Legislative Crisis</t>
        </is>
      </c>
      <c r="D10" s="3" t="inlineStr">
        <is>
          <t>legislation</t>
        </is>
      </c>
      <c r="E10" s="3" t="inlineStr">
        <is>
          <t>first-hour</t>
        </is>
      </c>
      <c r="F10" s="7" t="inlineStr">
        <is>
          <t>STEP</t>
        </is>
      </c>
      <c r="G10" s="3" t="n">
        <v>1</v>
      </c>
      <c r="H10" s="3" t="inlineStr">
        <is>
          <t>Lorem ipsum dolor sit amet consectetur adipiscing elit sed do eiusmod tempor incididunt ut labore et dolore magna</t>
        </is>
      </c>
      <c r="I10" s="3" t="n">
        <v>25</v>
      </c>
      <c r="J10" s="104">
        <f>IF(TRIM(H10)="",0,LEN(TRIM(H10))-LEN(SUBSTITUTE(TRIM(H10)," ",""))+1)</f>
        <v/>
      </c>
      <c r="K10" s="105">
        <f>IF(J10&gt;I10,"OVER ↑","✓")</f>
        <v/>
      </c>
      <c r="L10" s="3" t="inlineStr">
        <is>
          <t>STABLE</t>
        </is>
      </c>
      <c r="M10" s="3" t="inlineStr">
        <is>
          <t>2026-02-17</t>
        </is>
      </c>
      <c r="N10" s="3" t="inlineStr">
        <is>
          <t>J.Cranshaw</t>
        </is>
      </c>
      <c r="O10" s="3" t="inlineStr">
        <is>
          <t>2028-02-17</t>
        </is>
      </c>
      <c r="P10" s="3" t="inlineStr">
        <is>
          <t>EN</t>
        </is>
      </c>
      <c r="Q10" s="3" t="n">
        <v>3</v>
      </c>
      <c r="R10" s="3" t="n"/>
    </row>
    <row r="11" ht="40" customHeight="1">
      <c r="A11" s="6" t="inlineStr">
        <is>
          <t>P1-S1-STEP-003</t>
        </is>
      </c>
      <c r="B11" s="6" t="n">
        <v>1</v>
      </c>
      <c r="C11" s="6" t="inlineStr">
        <is>
          <t>1.1 Legislative Crisis</t>
        </is>
      </c>
      <c r="D11" s="6" t="inlineStr">
        <is>
          <t>legislation</t>
        </is>
      </c>
      <c r="E11" s="6" t="inlineStr">
        <is>
          <t>first-hour</t>
        </is>
      </c>
      <c r="F11" s="7" t="inlineStr">
        <is>
          <t>STEP</t>
        </is>
      </c>
      <c r="G11" s="6" t="n">
        <v>1</v>
      </c>
      <c r="H11" s="6" t="inlineStr">
        <is>
          <t>Lorem ipsum dolor sit amet consectetur adipiscing elit sed do eiusmod tempor incididunt ut labore et dolore magna</t>
        </is>
      </c>
      <c r="I11" s="6" t="n">
        <v>25</v>
      </c>
      <c r="J11" s="102">
        <f>IF(TRIM(H11)="",0,LEN(TRIM(H11))-LEN(SUBSTITUTE(TRIM(H11)," ",""))+1)</f>
        <v/>
      </c>
      <c r="K11" s="105">
        <f>IF(J11&gt;I11,"OVER ↑","✓")</f>
        <v/>
      </c>
      <c r="L11" s="6" t="inlineStr">
        <is>
          <t>STABLE</t>
        </is>
      </c>
      <c r="M11" s="6" t="inlineStr">
        <is>
          <t>2026-02-17</t>
        </is>
      </c>
      <c r="N11" s="6" t="inlineStr">
        <is>
          <t>J.Cranshaw</t>
        </is>
      </c>
      <c r="O11" s="6" t="inlineStr">
        <is>
          <t>2028-02-17</t>
        </is>
      </c>
      <c r="P11" s="6" t="inlineStr">
        <is>
          <t>EN</t>
        </is>
      </c>
      <c r="Q11" s="6" t="n">
        <v>4</v>
      </c>
      <c r="R11" s="6" t="n"/>
    </row>
    <row r="12" ht="40" customHeight="1">
      <c r="A12" s="3" t="inlineStr">
        <is>
          <t>P1-S1-TIP-001</t>
        </is>
      </c>
      <c r="B12" s="3" t="n">
        <v>1</v>
      </c>
      <c r="C12" s="3" t="inlineStr">
        <is>
          <t>1.1 Legislative Crisis</t>
        </is>
      </c>
      <c r="D12" s="3" t="inlineStr">
        <is>
          <t>legislation</t>
        </is>
      </c>
      <c r="E12" s="3" t="inlineStr">
        <is>
          <t>first-hour</t>
        </is>
      </c>
      <c r="F12" s="9" t="inlineStr">
        <is>
          <t>TIP</t>
        </is>
      </c>
      <c r="G12" s="3" t="n">
        <v>1</v>
      </c>
      <c r="H12" s="3" t="inlineStr">
        <is>
          <t>Lorem ipsum dolor sit amet consectetur adipiscing elit sed do eiusmod tempor incididunt ut labore et dolore magna aliqua ut enim ad minim veniam quis nostrud</t>
        </is>
      </c>
      <c r="I12" s="3" t="n">
        <v>35</v>
      </c>
      <c r="J12" s="104">
        <f>IF(TRIM(H12)="",0,LEN(TRIM(H12))-LEN(SUBSTITUTE(TRIM(H12)," ",""))+1)</f>
        <v/>
      </c>
      <c r="K12" s="105">
        <f>IF(J12&gt;I12,"OVER ↑","✓")</f>
        <v/>
      </c>
      <c r="L12" s="3" t="inlineStr">
        <is>
          <t>STABLE</t>
        </is>
      </c>
      <c r="M12" s="3" t="inlineStr">
        <is>
          <t>2026-02-17</t>
        </is>
      </c>
      <c r="N12" s="3" t="inlineStr">
        <is>
          <t>J.Cranshaw</t>
        </is>
      </c>
      <c r="O12" s="3" t="inlineStr">
        <is>
          <t>2028-02-17</t>
        </is>
      </c>
      <c r="P12" s="3" t="inlineStr">
        <is>
          <t>EN</t>
        </is>
      </c>
      <c r="Q12" s="3" t="n">
        <v>5</v>
      </c>
      <c r="R12" s="3" t="n"/>
    </row>
    <row r="13" ht="40" customHeight="1">
      <c r="A13" s="6" t="inlineStr">
        <is>
          <t>P1-S1-WARNING-001</t>
        </is>
      </c>
      <c r="B13" s="6" t="n">
        <v>1</v>
      </c>
      <c r="C13" s="6" t="inlineStr">
        <is>
          <t>1.1 Legislative Crisis</t>
        </is>
      </c>
      <c r="D13" s="6" t="inlineStr">
        <is>
          <t>legislation</t>
        </is>
      </c>
      <c r="E13" s="6" t="inlineStr">
        <is>
          <t>first-hour</t>
        </is>
      </c>
      <c r="F13" s="10" t="inlineStr">
        <is>
          <t>WARNING</t>
        </is>
      </c>
      <c r="G13" s="6" t="n">
        <v>1</v>
      </c>
      <c r="H13" s="6" t="inlineStr">
        <is>
          <t>Lorem ipsum dolor sit amet consectetur adipiscing elit sed do eiusmod tempor incididunt ut labore et dolore magna aliqua ut enim ad minim veniam quis nostrud</t>
        </is>
      </c>
      <c r="I13" s="6" t="n">
        <v>35</v>
      </c>
      <c r="J13" s="102">
        <f>IF(TRIM(H13)="",0,LEN(TRIM(H13))-LEN(SUBSTITUTE(TRIM(H13)," ",""))+1)</f>
        <v/>
      </c>
      <c r="K13" s="105">
        <f>IF(J13&gt;I13,"OVER ↑","✓")</f>
        <v/>
      </c>
      <c r="L13" s="6" t="inlineStr">
        <is>
          <t>STABLE</t>
        </is>
      </c>
      <c r="M13" s="6" t="inlineStr">
        <is>
          <t>2026-02-17</t>
        </is>
      </c>
      <c r="N13" s="6" t="inlineStr">
        <is>
          <t>J.Cranshaw</t>
        </is>
      </c>
      <c r="O13" s="6" t="inlineStr">
        <is>
          <t>2028-02-17</t>
        </is>
      </c>
      <c r="P13" s="6" t="inlineStr">
        <is>
          <t>EN</t>
        </is>
      </c>
      <c r="Q13" s="6" t="n">
        <v>6</v>
      </c>
      <c r="R13" s="6" t="n"/>
    </row>
    <row r="14" ht="40" customHeight="1">
      <c r="A14" s="3" t="inlineStr">
        <is>
          <t>P1-S1-STEP-004</t>
        </is>
      </c>
      <c r="B14" s="3" t="n">
        <v>1</v>
      </c>
      <c r="C14" s="3" t="inlineStr">
        <is>
          <t>1.1 Legislative Crisis</t>
        </is>
      </c>
      <c r="D14" s="3" t="inlineStr">
        <is>
          <t>legislation</t>
        </is>
      </c>
      <c r="E14" s="3" t="inlineStr">
        <is>
          <t>first-24hrs</t>
        </is>
      </c>
      <c r="F14" s="7" t="inlineStr">
        <is>
          <t>STEP</t>
        </is>
      </c>
      <c r="G14" s="3" t="n">
        <v>1</v>
      </c>
      <c r="H14" s="3" t="inlineStr">
        <is>
          <t>Lorem ipsum dolor sit amet consectetur adipiscing elit sed do eiusmod tempor incididunt ut labore et dolore magna</t>
        </is>
      </c>
      <c r="I14" s="3" t="n">
        <v>25</v>
      </c>
      <c r="J14" s="104">
        <f>IF(TRIM(H14)="",0,LEN(TRIM(H14))-LEN(SUBSTITUTE(TRIM(H14)," ",""))+1)</f>
        <v/>
      </c>
      <c r="K14" s="105">
        <f>IF(J14&gt;I14,"OVER ↑","✓")</f>
        <v/>
      </c>
      <c r="L14" s="3" t="inlineStr">
        <is>
          <t>STABLE</t>
        </is>
      </c>
      <c r="M14" s="3" t="inlineStr">
        <is>
          <t>2026-02-17</t>
        </is>
      </c>
      <c r="N14" s="3" t="inlineStr">
        <is>
          <t>J.Cranshaw</t>
        </is>
      </c>
      <c r="O14" s="3" t="inlineStr">
        <is>
          <t>2028-02-17</t>
        </is>
      </c>
      <c r="P14" s="3" t="inlineStr">
        <is>
          <t>EN</t>
        </is>
      </c>
      <c r="Q14" s="3" t="n">
        <v>7</v>
      </c>
      <c r="R14" s="3" t="n"/>
    </row>
    <row r="15" ht="40" customHeight="1">
      <c r="A15" s="6" t="inlineStr">
        <is>
          <t>P1-S1-STEP-005</t>
        </is>
      </c>
      <c r="B15" s="6" t="n">
        <v>1</v>
      </c>
      <c r="C15" s="6" t="inlineStr">
        <is>
          <t>1.1 Legislative Crisis</t>
        </is>
      </c>
      <c r="D15" s="6" t="inlineStr">
        <is>
          <t>legislation</t>
        </is>
      </c>
      <c r="E15" s="6" t="inlineStr">
        <is>
          <t>first-24hrs</t>
        </is>
      </c>
      <c r="F15" s="7" t="inlineStr">
        <is>
          <t>STEP</t>
        </is>
      </c>
      <c r="G15" s="6" t="n">
        <v>1</v>
      </c>
      <c r="H15" s="6" t="inlineStr">
        <is>
          <t>Lorem ipsum dolor sit amet consectetur adipiscing elit sed do eiusmod tempor incididunt ut labore et dolore magna</t>
        </is>
      </c>
      <c r="I15" s="6" t="n">
        <v>25</v>
      </c>
      <c r="J15" s="102">
        <f>IF(TRIM(H15)="",0,LEN(TRIM(H15))-LEN(SUBSTITUTE(TRIM(H15)," ",""))+1)</f>
        <v/>
      </c>
      <c r="K15" s="105">
        <f>IF(J15&gt;I15,"OVER ↑","✓")</f>
        <v/>
      </c>
      <c r="L15" s="6" t="inlineStr">
        <is>
          <t>HIGH-CHURN</t>
        </is>
      </c>
      <c r="M15" s="6" t="inlineStr">
        <is>
          <t>2026-02-17</t>
        </is>
      </c>
      <c r="N15" s="6" t="inlineStr">
        <is>
          <t>J.Cranshaw</t>
        </is>
      </c>
      <c r="O15" s="6" t="inlineStr">
        <is>
          <t>2027-02-17</t>
        </is>
      </c>
      <c r="P15" s="6" t="inlineStr">
        <is>
          <t>EN</t>
        </is>
      </c>
      <c r="Q15" s="6" t="n">
        <v>8</v>
      </c>
      <c r="R15" s="6" t="inlineStr">
        <is>
          <t>Verify ICNL/PILnet platform eligibility annually — may change</t>
        </is>
      </c>
    </row>
    <row r="16" ht="40" customHeight="1">
      <c r="A16" s="3" t="inlineStr">
        <is>
          <t>P1-S1-MREF-001</t>
        </is>
      </c>
      <c r="B16" s="3" t="n">
        <v>1</v>
      </c>
      <c r="C16" s="3" t="inlineStr">
        <is>
          <t>1.1 Legislative Crisis</t>
        </is>
      </c>
      <c r="D16" s="3" t="inlineStr">
        <is>
          <t>legislation</t>
        </is>
      </c>
      <c r="E16" s="3" t="inlineStr">
        <is>
          <t>first-24hrs</t>
        </is>
      </c>
      <c r="F16" s="11" t="inlineStr">
        <is>
          <t>MECHANISM-REF</t>
        </is>
      </c>
      <c r="G16" s="3" t="n">
        <v>2</v>
      </c>
      <c r="H16" s="3" t="inlineStr">
        <is>
          <t>→ Legal: ICNL Emergency Legal Support</t>
        </is>
      </c>
      <c r="I16" s="3" t="n">
        <v>15</v>
      </c>
      <c r="J16" s="104">
        <f>IF(TRIM(H16)="",0,LEN(TRIM(H16))-LEN(SUBSTITUTE(TRIM(H16)," ",""))+1)</f>
        <v/>
      </c>
      <c r="K16" s="105">
        <f>IF(J16&gt;I16,"OVER ↑","✓")</f>
        <v/>
      </c>
      <c r="L16" s="3" t="inlineStr">
        <is>
          <t>HIGH-CHURN</t>
        </is>
      </c>
      <c r="M16" s="3" t="inlineStr">
        <is>
          <t>2026-02-17</t>
        </is>
      </c>
      <c r="N16" s="3" t="inlineStr">
        <is>
          <t>J.Cranshaw</t>
        </is>
      </c>
      <c r="O16" s="3" t="inlineStr">
        <is>
          <t>2027-02-17</t>
        </is>
      </c>
      <c r="P16" s="3" t="inlineStr">
        <is>
          <t>EN</t>
        </is>
      </c>
      <c r="Q16" s="3" t="n">
        <v>9</v>
      </c>
      <c r="R16" s="3" t="inlineStr">
        <is>
          <t>Points to MECHANISMS sheet row MECH-L-001</t>
        </is>
      </c>
    </row>
    <row r="17" ht="40" customHeight="1">
      <c r="A17" s="6" t="inlineStr">
        <is>
          <t>P1-S1-STEP-006</t>
        </is>
      </c>
      <c r="B17" s="6" t="n">
        <v>1</v>
      </c>
      <c r="C17" s="6" t="inlineStr">
        <is>
          <t>1.1 Legislative Crisis</t>
        </is>
      </c>
      <c r="D17" s="6" t="inlineStr">
        <is>
          <t>legislation</t>
        </is>
      </c>
      <c r="E17" s="6" t="inlineStr">
        <is>
          <t>first-72hrs</t>
        </is>
      </c>
      <c r="F17" s="7" t="inlineStr">
        <is>
          <t>STEP</t>
        </is>
      </c>
      <c r="G17" s="6" t="n">
        <v>1</v>
      </c>
      <c r="H17" s="6" t="inlineStr">
        <is>
          <t>Lorem ipsum dolor sit amet consectetur adipiscing elit sed do eiusmod tempor incididunt ut labore et dolore magna</t>
        </is>
      </c>
      <c r="I17" s="6" t="n">
        <v>25</v>
      </c>
      <c r="J17" s="102">
        <f>IF(TRIM(H17)="",0,LEN(TRIM(H17))-LEN(SUBSTITUTE(TRIM(H17)," ",""))+1)</f>
        <v/>
      </c>
      <c r="K17" s="105">
        <f>IF(J17&gt;I17,"OVER ↑","✓")</f>
        <v/>
      </c>
      <c r="L17" s="6" t="inlineStr">
        <is>
          <t>STABLE</t>
        </is>
      </c>
      <c r="M17" s="6" t="inlineStr">
        <is>
          <t>2026-02-17</t>
        </is>
      </c>
      <c r="N17" s="6" t="inlineStr">
        <is>
          <t>J.Cranshaw</t>
        </is>
      </c>
      <c r="O17" s="6" t="inlineStr">
        <is>
          <t>2028-02-17</t>
        </is>
      </c>
      <c r="P17" s="6" t="inlineStr">
        <is>
          <t>EN</t>
        </is>
      </c>
      <c r="Q17" s="6" t="n">
        <v>10</v>
      </c>
      <c r="R17" s="6" t="n"/>
    </row>
    <row r="18" ht="40" customHeight="1">
      <c r="A18" s="3" t="inlineStr">
        <is>
          <t>P1-S1-DECISION-001</t>
        </is>
      </c>
      <c r="B18" s="3" t="n">
        <v>1</v>
      </c>
      <c r="C18" s="3" t="inlineStr">
        <is>
          <t>1.1 Legislative Crisis</t>
        </is>
      </c>
      <c r="D18" s="3" t="inlineStr">
        <is>
          <t>legislation</t>
        </is>
      </c>
      <c r="E18" s="3" t="inlineStr">
        <is>
          <t>first-72hrs</t>
        </is>
      </c>
      <c r="F18" s="12" t="inlineStr">
        <is>
          <t>DECISION-Q</t>
        </is>
      </c>
      <c r="G18" s="3" t="n">
        <v>1</v>
      </c>
      <c r="H18" s="3" t="inlineStr">
        <is>
          <t>Lorem ipsum dolor sit amet consectetur adipiscing elit sed do eiusmod tempor incididunt ut labore</t>
        </is>
      </c>
      <c r="I18" s="3" t="n">
        <v>20</v>
      </c>
      <c r="J18" s="104">
        <f>IF(TRIM(H18)="",0,LEN(TRIM(H18))-LEN(SUBSTITUTE(TRIM(H18)," ",""))+1)</f>
        <v/>
      </c>
      <c r="K18" s="105">
        <f>IF(J18&gt;I18,"OVER ↑","✓")</f>
        <v/>
      </c>
      <c r="L18" s="3" t="inlineStr">
        <is>
          <t>STABLE</t>
        </is>
      </c>
      <c r="M18" s="3" t="inlineStr">
        <is>
          <t>2026-02-17</t>
        </is>
      </c>
      <c r="N18" s="3" t="inlineStr">
        <is>
          <t>J.Cranshaw</t>
        </is>
      </c>
      <c r="O18" s="3" t="inlineStr">
        <is>
          <t>2028-02-17</t>
        </is>
      </c>
      <c r="P18" s="3" t="inlineStr">
        <is>
          <t>EN</t>
        </is>
      </c>
      <c r="Q18" s="3" t="n">
        <v>11</v>
      </c>
      <c r="R18" s="3" t="inlineStr">
        <is>
          <t>Branch: deregistration vs compliance</t>
        </is>
      </c>
    </row>
    <row r="19" ht="40" customHeight="1">
      <c r="A19" s="6" t="inlineStr">
        <is>
          <t>P1-S1-DECISION-002</t>
        </is>
      </c>
      <c r="B19" s="6" t="n">
        <v>1</v>
      </c>
      <c r="C19" s="6" t="inlineStr">
        <is>
          <t>1.1 Legislative Crisis</t>
        </is>
      </c>
      <c r="D19" s="6" t="inlineStr">
        <is>
          <t>legislation</t>
        </is>
      </c>
      <c r="E19" s="6" t="inlineStr">
        <is>
          <t>first-72hrs</t>
        </is>
      </c>
      <c r="F19" s="13" t="inlineStr">
        <is>
          <t>DECISION-A</t>
        </is>
      </c>
      <c r="G19" s="6" t="n">
        <v>1</v>
      </c>
      <c r="H19" s="6" t="inlineStr">
        <is>
          <t>Lorem ipsum dolor sit amet consectetur</t>
        </is>
      </c>
      <c r="I19" s="6" t="n">
        <v>8</v>
      </c>
      <c r="J19" s="102">
        <f>IF(TRIM(H19)="",0,LEN(TRIM(H19))-LEN(SUBSTITUTE(TRIM(H19)," ",""))+1)</f>
        <v/>
      </c>
      <c r="K19" s="105">
        <f>IF(J19&gt;I19,"OVER ↑","✓")</f>
        <v/>
      </c>
      <c r="L19" s="6" t="inlineStr">
        <is>
          <t>STABLE</t>
        </is>
      </c>
      <c r="M19" s="6" t="inlineStr">
        <is>
          <t>2026-02-17</t>
        </is>
      </c>
      <c r="N19" s="6" t="inlineStr">
        <is>
          <t>J.Cranshaw</t>
        </is>
      </c>
      <c r="O19" s="6" t="inlineStr">
        <is>
          <t>2028-02-17</t>
        </is>
      </c>
      <c r="P19" s="6" t="inlineStr">
        <is>
          <t>EN</t>
        </is>
      </c>
      <c r="Q19" s="6" t="n">
        <v>12</v>
      </c>
      <c r="R19" s="6" t="n"/>
    </row>
    <row r="20" ht="40" customHeight="1">
      <c r="A20" s="3" t="inlineStr">
        <is>
          <t>P1-S1-DECISION-003</t>
        </is>
      </c>
      <c r="B20" s="3" t="n">
        <v>1</v>
      </c>
      <c r="C20" s="3" t="inlineStr">
        <is>
          <t>1.1 Legislative Crisis</t>
        </is>
      </c>
      <c r="D20" s="3" t="inlineStr">
        <is>
          <t>legislation</t>
        </is>
      </c>
      <c r="E20" s="3" t="inlineStr">
        <is>
          <t>first-72hrs</t>
        </is>
      </c>
      <c r="F20" s="13" t="inlineStr">
        <is>
          <t>DECISION-A</t>
        </is>
      </c>
      <c r="G20" s="3" t="n">
        <v>1</v>
      </c>
      <c r="H20" s="3" t="inlineStr">
        <is>
          <t>Lorem ipsum dolor sit amet consectetur</t>
        </is>
      </c>
      <c r="I20" s="3" t="n">
        <v>8</v>
      </c>
      <c r="J20" s="104">
        <f>IF(TRIM(H20)="",0,LEN(TRIM(H20))-LEN(SUBSTITUTE(TRIM(H20)," ",""))+1)</f>
        <v/>
      </c>
      <c r="K20" s="105">
        <f>IF(J20&gt;I20,"OVER ↑","✓")</f>
        <v/>
      </c>
      <c r="L20" s="3" t="inlineStr">
        <is>
          <t>STABLE</t>
        </is>
      </c>
      <c r="M20" s="3" t="inlineStr">
        <is>
          <t>2026-02-17</t>
        </is>
      </c>
      <c r="N20" s="3" t="inlineStr">
        <is>
          <t>J.Cranshaw</t>
        </is>
      </c>
      <c r="O20" s="3" t="inlineStr">
        <is>
          <t>2028-02-17</t>
        </is>
      </c>
      <c r="P20" s="3" t="inlineStr">
        <is>
          <t>EN</t>
        </is>
      </c>
      <c r="Q20" s="3" t="n">
        <v>13</v>
      </c>
      <c r="R20" s="3" t="n"/>
    </row>
    <row r="21" ht="40" customHeight="1">
      <c r="A21" s="3" t="inlineStr">
        <is>
          <t>P1-S2-SUB-PRE</t>
        </is>
      </c>
      <c r="B21" s="3" t="n">
        <v>1</v>
      </c>
      <c r="C21" s="3" t="inlineStr">
        <is>
          <t>1.2 Funding Shock</t>
        </is>
      </c>
      <c r="D21" s="3" t="inlineStr">
        <is>
          <t>funding-shock</t>
        </is>
      </c>
      <c r="E21" s="3" t="inlineStr">
        <is>
          <t>preemptive</t>
        </is>
      </c>
      <c r="F21" s="45" t="inlineStr">
        <is>
          <t>SUBSECTION</t>
        </is>
      </c>
      <c r="G21" s="3" t="n">
        <v>1</v>
      </c>
      <c r="H21" s="3" t="inlineStr">
        <is>
          <t>Lorem ipsum dolor sit amet consectetur adipiscing elit sed</t>
        </is>
      </c>
      <c r="I21" s="3" t="n">
        <v>12</v>
      </c>
      <c r="J21" s="104">
        <f>IF(TRIM(H21)="",0,LEN(TRIM(H21))-LEN(SUBSTITUTE(TRIM(H21)," ",""))+1)</f>
        <v/>
      </c>
      <c r="K21" s="103">
        <f>IF(J21&gt;I21,"OVER ↑","✓")</f>
        <v/>
      </c>
      <c r="L21" s="3" t="inlineStr">
        <is>
          <t>STABLE</t>
        </is>
      </c>
      <c r="M21" s="3" t="inlineStr">
        <is>
          <t>2026-02-17</t>
        </is>
      </c>
      <c r="N21" s="3" t="inlineStr">
        <is>
          <t>J.Cranshaw</t>
        </is>
      </c>
      <c r="O21" s="3" t="inlineStr">
        <is>
          <t>2028-02-17</t>
        </is>
      </c>
      <c r="P21" s="3" t="inlineStr">
        <is>
          <t>EN</t>
        </is>
      </c>
      <c r="Q21" s="3" t="n">
        <v>0</v>
      </c>
      <c r="R21" s="3" t="n"/>
    </row>
    <row r="22" ht="40" customHeight="1">
      <c r="A22" s="6" t="inlineStr">
        <is>
          <t>P1-S2-PRE-001</t>
        </is>
      </c>
      <c r="B22" s="6" t="n">
        <v>1</v>
      </c>
      <c r="C22" s="6" t="inlineStr">
        <is>
          <t>1.2 Funding Shock</t>
        </is>
      </c>
      <c r="D22" s="6" t="inlineStr">
        <is>
          <t>funding-shock</t>
        </is>
      </c>
      <c r="E22" s="6" t="inlineStr">
        <is>
          <t>preemptive</t>
        </is>
      </c>
      <c r="F22" s="7" t="inlineStr">
        <is>
          <t>STEP</t>
        </is>
      </c>
      <c r="G22" s="6" t="n">
        <v>1</v>
      </c>
      <c r="H22" s="6" t="inlineStr">
        <is>
          <t>Lorem ipsum dolor sit amet consectetur adipiscing elit sed do eiusmod tempor incididunt ut labore et dolore magna</t>
        </is>
      </c>
      <c r="I22" s="6" t="n">
        <v>25</v>
      </c>
      <c r="J22" s="102">
        <f>IF(TRIM(H22)="",0,LEN(TRIM(H22))-LEN(SUBSTITUTE(TRIM(H22)," ",""))+1)</f>
        <v/>
      </c>
      <c r="K22" s="103">
        <f>IF(J22&gt;I22,"OVER ↑","✓")</f>
        <v/>
      </c>
      <c r="L22" s="6" t="inlineStr">
        <is>
          <t>STABLE</t>
        </is>
      </c>
      <c r="M22" s="6" t="inlineStr">
        <is>
          <t>2026-02-17</t>
        </is>
      </c>
      <c r="N22" s="6" t="inlineStr">
        <is>
          <t>J.Cranshaw</t>
        </is>
      </c>
      <c r="O22" s="6" t="inlineStr">
        <is>
          <t>2028-02-17</t>
        </is>
      </c>
      <c r="P22" s="6" t="inlineStr">
        <is>
          <t>EN</t>
        </is>
      </c>
      <c r="Q22" s="6" t="n">
        <v>1</v>
      </c>
      <c r="R22" s="6" t="n"/>
    </row>
    <row r="23" ht="40" customHeight="1">
      <c r="A23" s="3" t="inlineStr">
        <is>
          <t>P1-S2-PRE-002</t>
        </is>
      </c>
      <c r="B23" s="3" t="n">
        <v>1</v>
      </c>
      <c r="C23" s="3" t="inlineStr">
        <is>
          <t>1.2 Funding Shock</t>
        </is>
      </c>
      <c r="D23" s="3" t="inlineStr">
        <is>
          <t>funding-shock</t>
        </is>
      </c>
      <c r="E23" s="3" t="inlineStr">
        <is>
          <t>preemptive</t>
        </is>
      </c>
      <c r="F23" s="7" t="inlineStr">
        <is>
          <t>STEP</t>
        </is>
      </c>
      <c r="G23" s="3" t="n">
        <v>1</v>
      </c>
      <c r="H23" s="3" t="inlineStr">
        <is>
          <t>Lorem ipsum dolor sit amet consectetur adipiscing elit sed do eiusmod tempor incididunt ut labore et dolore magna</t>
        </is>
      </c>
      <c r="I23" s="3" t="n">
        <v>25</v>
      </c>
      <c r="J23" s="104">
        <f>IF(TRIM(H23)="",0,LEN(TRIM(H23))-LEN(SUBSTITUTE(TRIM(H23)," ",""))+1)</f>
        <v/>
      </c>
      <c r="K23" s="103">
        <f>IF(J23&gt;I23,"OVER ↑","✓")</f>
        <v/>
      </c>
      <c r="L23" s="3" t="inlineStr">
        <is>
          <t>STABLE</t>
        </is>
      </c>
      <c r="M23" s="3" t="inlineStr">
        <is>
          <t>2026-02-17</t>
        </is>
      </c>
      <c r="N23" s="3" t="inlineStr">
        <is>
          <t>J.Cranshaw</t>
        </is>
      </c>
      <c r="O23" s="3" t="inlineStr">
        <is>
          <t>2028-02-17</t>
        </is>
      </c>
      <c r="P23" s="3" t="inlineStr">
        <is>
          <t>EN</t>
        </is>
      </c>
      <c r="Q23" s="3" t="n">
        <v>2</v>
      </c>
      <c r="R23" s="3" t="n"/>
    </row>
    <row r="24" ht="40" customHeight="1">
      <c r="A24" s="6" t="inlineStr">
        <is>
          <t>P1-S2-PRE-003</t>
        </is>
      </c>
      <c r="B24" s="6" t="n">
        <v>1</v>
      </c>
      <c r="C24" s="6" t="inlineStr">
        <is>
          <t>1.2 Funding Shock</t>
        </is>
      </c>
      <c r="D24" s="6" t="inlineStr">
        <is>
          <t>funding-shock</t>
        </is>
      </c>
      <c r="E24" s="6" t="inlineStr">
        <is>
          <t>preemptive</t>
        </is>
      </c>
      <c r="F24" s="7" t="inlineStr">
        <is>
          <t>STEP</t>
        </is>
      </c>
      <c r="G24" s="6" t="n">
        <v>1</v>
      </c>
      <c r="H24" s="6" t="inlineStr">
        <is>
          <t>Lorem ipsum dolor sit amet consectetur adipiscing elit sed do eiusmod tempor incididunt ut labore et dolore magna</t>
        </is>
      </c>
      <c r="I24" s="6" t="n">
        <v>25</v>
      </c>
      <c r="J24" s="102">
        <f>IF(TRIM(H24)="",0,LEN(TRIM(H24))-LEN(SUBSTITUTE(TRIM(H24)," ",""))+1)</f>
        <v/>
      </c>
      <c r="K24" s="103">
        <f>IF(J24&gt;I24,"OVER ↑","✓")</f>
        <v/>
      </c>
      <c r="L24" s="6" t="inlineStr">
        <is>
          <t>STABLE</t>
        </is>
      </c>
      <c r="M24" s="6" t="inlineStr">
        <is>
          <t>2026-02-17</t>
        </is>
      </c>
      <c r="N24" s="6" t="inlineStr">
        <is>
          <t>J.Cranshaw</t>
        </is>
      </c>
      <c r="O24" s="6" t="inlineStr">
        <is>
          <t>2028-02-17</t>
        </is>
      </c>
      <c r="P24" s="6" t="inlineStr">
        <is>
          <t>EN</t>
        </is>
      </c>
      <c r="Q24" s="6" t="n">
        <v>3</v>
      </c>
      <c r="R24" s="6" t="n"/>
    </row>
    <row r="25" ht="40" customHeight="1">
      <c r="A25" s="3" t="inlineStr">
        <is>
          <t>P1-S2-PRE-TIP</t>
        </is>
      </c>
      <c r="B25" s="3" t="n">
        <v>1</v>
      </c>
      <c r="C25" s="3" t="inlineStr">
        <is>
          <t>1.2 Funding Shock</t>
        </is>
      </c>
      <c r="D25" s="3" t="inlineStr">
        <is>
          <t>funding-shock</t>
        </is>
      </c>
      <c r="E25" s="3" t="inlineStr">
        <is>
          <t>preemptive</t>
        </is>
      </c>
      <c r="F25" s="9" t="inlineStr">
        <is>
          <t>TIP</t>
        </is>
      </c>
      <c r="G25" s="3" t="n">
        <v>1</v>
      </c>
      <c r="H25" s="3" t="inlineStr">
        <is>
          <t>Lorem ipsum dolor sit amet consectetur adipiscing elit sed do eiusmod tempor incididunt ut labore et dolore magna aliqua ut enim ad minim veniam quis nostrud</t>
        </is>
      </c>
      <c r="I25" s="3" t="n">
        <v>35</v>
      </c>
      <c r="J25" s="104">
        <f>IF(TRIM(H25)="",0,LEN(TRIM(H25))-LEN(SUBSTITUTE(TRIM(H25)," ",""))+1)</f>
        <v/>
      </c>
      <c r="K25" s="103">
        <f>IF(J25&gt;I25,"OVER ↑","✓")</f>
        <v/>
      </c>
      <c r="L25" s="3" t="inlineStr">
        <is>
          <t>STABLE</t>
        </is>
      </c>
      <c r="M25" s="3" t="inlineStr">
        <is>
          <t>2026-02-17</t>
        </is>
      </c>
      <c r="N25" s="3" t="inlineStr">
        <is>
          <t>J.Cranshaw</t>
        </is>
      </c>
      <c r="O25" s="3" t="inlineStr">
        <is>
          <t>2028-02-17</t>
        </is>
      </c>
      <c r="P25" s="3" t="inlineStr">
        <is>
          <t>EN</t>
        </is>
      </c>
      <c r="Q25" s="3" t="n">
        <v>4</v>
      </c>
      <c r="R25" s="3" t="n"/>
    </row>
    <row r="26" ht="40" customHeight="1">
      <c r="A26" s="6" t="inlineStr">
        <is>
          <t>P1-S2-INTRO-001</t>
        </is>
      </c>
      <c r="B26" s="6" t="n">
        <v>1</v>
      </c>
      <c r="C26" s="6" t="inlineStr">
        <is>
          <t>1.2 Funding Shock</t>
        </is>
      </c>
      <c r="D26" s="6" t="inlineStr">
        <is>
          <t>funding-shock</t>
        </is>
      </c>
      <c r="E26" s="6" t="inlineStr">
        <is>
          <t>general</t>
        </is>
      </c>
      <c r="F26" s="4" t="inlineStr">
        <is>
          <t>INTRO</t>
        </is>
      </c>
      <c r="G26" s="6" t="n">
        <v>1</v>
      </c>
      <c r="H26" s="6"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t>
        </is>
      </c>
      <c r="I26" s="6" t="n">
        <v>60</v>
      </c>
      <c r="J26" s="102">
        <f>IF(TRIM(H26)="",0,LEN(TRIM(H26))-LEN(SUBSTITUTE(TRIM(H26)," ",""))+1)</f>
        <v/>
      </c>
      <c r="K26" s="105">
        <f>IF(J26&gt;I26,"OVER ↑","✓")</f>
        <v/>
      </c>
      <c r="L26" s="6" t="inlineStr">
        <is>
          <t>HIGH-CHURN</t>
        </is>
      </c>
      <c r="M26" s="6" t="inlineStr">
        <is>
          <t>2026-02-17</t>
        </is>
      </c>
      <c r="N26" s="6" t="inlineStr">
        <is>
          <t>J.Cranshaw</t>
        </is>
      </c>
      <c r="O26" s="6" t="inlineStr">
        <is>
          <t>2027-02-17</t>
        </is>
      </c>
      <c r="P26" s="6" t="inlineStr">
        <is>
          <t>EN</t>
        </is>
      </c>
      <c r="Q26" s="6" t="n">
        <v>1</v>
      </c>
      <c r="R26" s="6" t="inlineStr">
        <is>
          <t>Review annually — emergency funding landscape changes fast</t>
        </is>
      </c>
    </row>
    <row r="27" ht="40" customHeight="1">
      <c r="A27" s="3" t="inlineStr">
        <is>
          <t>P1-S2-STEP-001</t>
        </is>
      </c>
      <c r="B27" s="3" t="n">
        <v>1</v>
      </c>
      <c r="C27" s="3" t="inlineStr">
        <is>
          <t>1.2 Funding Shock</t>
        </is>
      </c>
      <c r="D27" s="3" t="inlineStr">
        <is>
          <t>funding-shock</t>
        </is>
      </c>
      <c r="E27" s="3" t="inlineStr">
        <is>
          <t>first-hour</t>
        </is>
      </c>
      <c r="F27" s="7" t="inlineStr">
        <is>
          <t>STEP</t>
        </is>
      </c>
      <c r="G27" s="3" t="n">
        <v>1</v>
      </c>
      <c r="H27" s="3" t="inlineStr">
        <is>
          <t>Lorem ipsum dolor sit amet consectetur adipiscing elit sed do eiusmod tempor incididunt ut labore et dolore magna</t>
        </is>
      </c>
      <c r="I27" s="3" t="n">
        <v>25</v>
      </c>
      <c r="J27" s="104">
        <f>IF(TRIM(H27)="",0,LEN(TRIM(H27))-LEN(SUBSTITUTE(TRIM(H27)," ",""))+1)</f>
        <v/>
      </c>
      <c r="K27" s="105">
        <f>IF(J27&gt;I27,"OVER ↑","✓")</f>
        <v/>
      </c>
      <c r="L27" s="3" t="inlineStr">
        <is>
          <t>STABLE</t>
        </is>
      </c>
      <c r="M27" s="3" t="inlineStr">
        <is>
          <t>2026-02-17</t>
        </is>
      </c>
      <c r="N27" s="3" t="inlineStr">
        <is>
          <t>J.Cranshaw</t>
        </is>
      </c>
      <c r="O27" s="3" t="inlineStr">
        <is>
          <t>2028-02-17</t>
        </is>
      </c>
      <c r="P27" s="3" t="inlineStr">
        <is>
          <t>EN</t>
        </is>
      </c>
      <c r="Q27" s="3" t="n">
        <v>2</v>
      </c>
      <c r="R27" s="3" t="n"/>
    </row>
    <row r="28" ht="40" customHeight="1">
      <c r="A28" s="6" t="inlineStr">
        <is>
          <t>P1-S2-STEP-002</t>
        </is>
      </c>
      <c r="B28" s="6" t="n">
        <v>1</v>
      </c>
      <c r="C28" s="6" t="inlineStr">
        <is>
          <t>1.2 Funding Shock</t>
        </is>
      </c>
      <c r="D28" s="6" t="inlineStr">
        <is>
          <t>funding-shock</t>
        </is>
      </c>
      <c r="E28" s="6" t="inlineStr">
        <is>
          <t>first-hour</t>
        </is>
      </c>
      <c r="F28" s="7" t="inlineStr">
        <is>
          <t>STEP</t>
        </is>
      </c>
      <c r="G28" s="6" t="n">
        <v>1</v>
      </c>
      <c r="H28" s="6" t="inlineStr">
        <is>
          <t>Lorem ipsum dolor sit amet consectetur adipiscing elit sed do eiusmod tempor incididunt ut labore et dolore magna</t>
        </is>
      </c>
      <c r="I28" s="6" t="n">
        <v>25</v>
      </c>
      <c r="J28" s="102">
        <f>IF(TRIM(H28)="",0,LEN(TRIM(H28))-LEN(SUBSTITUTE(TRIM(H28)," ",""))+1)</f>
        <v/>
      </c>
      <c r="K28" s="105">
        <f>IF(J28&gt;I28,"OVER ↑","✓")</f>
        <v/>
      </c>
      <c r="L28" s="6" t="inlineStr">
        <is>
          <t>STABLE</t>
        </is>
      </c>
      <c r="M28" s="6" t="inlineStr">
        <is>
          <t>2026-02-17</t>
        </is>
      </c>
      <c r="N28" s="6" t="inlineStr">
        <is>
          <t>J.Cranshaw</t>
        </is>
      </c>
      <c r="O28" s="6" t="inlineStr">
        <is>
          <t>2028-02-17</t>
        </is>
      </c>
      <c r="P28" s="6" t="inlineStr">
        <is>
          <t>EN</t>
        </is>
      </c>
      <c r="Q28" s="6" t="n">
        <v>3</v>
      </c>
      <c r="R28" s="6" t="n"/>
    </row>
    <row r="29" ht="40" customHeight="1">
      <c r="A29" s="3" t="inlineStr">
        <is>
          <t>P1-S2-WARNING-001</t>
        </is>
      </c>
      <c r="B29" s="3" t="n">
        <v>1</v>
      </c>
      <c r="C29" s="3" t="inlineStr">
        <is>
          <t>1.2 Funding Shock</t>
        </is>
      </c>
      <c r="D29" s="3" t="inlineStr">
        <is>
          <t>funding-shock</t>
        </is>
      </c>
      <c r="E29" s="3" t="inlineStr">
        <is>
          <t>first-hour</t>
        </is>
      </c>
      <c r="F29" s="10" t="inlineStr">
        <is>
          <t>WARNING</t>
        </is>
      </c>
      <c r="G29" s="3" t="n">
        <v>1</v>
      </c>
      <c r="H29" s="3" t="inlineStr">
        <is>
          <t>Lorem ipsum dolor sit amet consectetur adipiscing elit sed do eiusmod tempor incididunt ut labore et dolore magna aliqua ut enim ad minim veniam quis nostrud</t>
        </is>
      </c>
      <c r="I29" s="3" t="n">
        <v>35</v>
      </c>
      <c r="J29" s="104">
        <f>IF(TRIM(H29)="",0,LEN(TRIM(H29))-LEN(SUBSTITUTE(TRIM(H29)," ",""))+1)</f>
        <v/>
      </c>
      <c r="K29" s="105">
        <f>IF(J29&gt;I29,"OVER ↑","✓")</f>
        <v/>
      </c>
      <c r="L29" s="3" t="inlineStr">
        <is>
          <t>STABLE</t>
        </is>
      </c>
      <c r="M29" s="3" t="inlineStr">
        <is>
          <t>2026-02-17</t>
        </is>
      </c>
      <c r="N29" s="3" t="inlineStr">
        <is>
          <t>J.Cranshaw</t>
        </is>
      </c>
      <c r="O29" s="3" t="inlineStr">
        <is>
          <t>2028-02-17</t>
        </is>
      </c>
      <c r="P29" s="3" t="inlineStr">
        <is>
          <t>EN</t>
        </is>
      </c>
      <c r="Q29" s="3" t="n">
        <v>4</v>
      </c>
      <c r="R29" s="3" t="n"/>
    </row>
    <row r="30" ht="40" customHeight="1">
      <c r="A30" s="6" t="inlineStr">
        <is>
          <t>P1-S2-DBREF-001</t>
        </is>
      </c>
      <c r="B30" s="6" t="n">
        <v>1</v>
      </c>
      <c r="C30" s="6" t="inlineStr">
        <is>
          <t>1.2 Funding Shock</t>
        </is>
      </c>
      <c r="D30" s="6" t="inlineStr">
        <is>
          <t>funding-shock</t>
        </is>
      </c>
      <c r="E30" s="6" t="inlineStr">
        <is>
          <t>first-24hrs</t>
        </is>
      </c>
      <c r="F30" s="14" t="inlineStr">
        <is>
          <t>DB-REF</t>
        </is>
      </c>
      <c r="G30" s="6" t="n">
        <v>1</v>
      </c>
      <c r="H30" s="6" t="inlineStr">
        <is>
          <t>Lorem ipsum dolor sit amet consectetur adipiscing elit sed do eiusmod tempor incididunt ut labore et dolore magna aliqua ut enim ad minim veniam quis nostrud exercitation ullamco laboris nisi</t>
        </is>
      </c>
      <c r="I30" s="6" t="n">
        <v>40</v>
      </c>
      <c r="J30" s="102">
        <f>IF(TRIM(H30)="",0,LEN(TRIM(H30))-LEN(SUBSTITUTE(TRIM(H30)," ",""))+1)</f>
        <v/>
      </c>
      <c r="K30" s="105">
        <f>IF(J30&gt;I30,"OVER ↑","✓")</f>
        <v/>
      </c>
      <c r="L30" s="6" t="inlineStr">
        <is>
          <t>HIGH-CHURN</t>
        </is>
      </c>
      <c r="M30" s="6" t="inlineStr">
        <is>
          <t>2026-02-17</t>
        </is>
      </c>
      <c r="N30" s="6" t="inlineStr">
        <is>
          <t>J.Cranshaw</t>
        </is>
      </c>
      <c r="O30" s="6" t="inlineStr">
        <is>
          <t>2027-02-17</t>
        </is>
      </c>
      <c r="P30" s="6" t="inlineStr">
        <is>
          <t>EN</t>
        </is>
      </c>
      <c r="Q30" s="6" t="n">
        <v>5</v>
      </c>
      <c r="R30" s="6" t="inlineStr">
        <is>
          <t>This is a DB-REF — do not copy mechanism details here, point to Part 4</t>
        </is>
      </c>
    </row>
    <row r="31" ht="40" customHeight="1">
      <c r="A31" s="6" t="inlineStr">
        <is>
          <t>P1-S3-SUB-PRE</t>
        </is>
      </c>
      <c r="B31" s="6" t="n">
        <v>1</v>
      </c>
      <c r="C31" s="6" t="inlineStr">
        <is>
          <t>1.3 Digital Repression</t>
        </is>
      </c>
      <c r="D31" s="6" t="inlineStr">
        <is>
          <t>digital</t>
        </is>
      </c>
      <c r="E31" s="6" t="inlineStr">
        <is>
          <t>preemptive</t>
        </is>
      </c>
      <c r="F31" s="45" t="inlineStr">
        <is>
          <t>SUBSECTION</t>
        </is>
      </c>
      <c r="G31" s="6" t="n">
        <v>1</v>
      </c>
      <c r="H31" s="6" t="inlineStr">
        <is>
          <t>Lorem ipsum dolor sit amet consectetur adipiscing elit sed</t>
        </is>
      </c>
      <c r="I31" s="6" t="n">
        <v>12</v>
      </c>
      <c r="J31" s="102">
        <f>IF(TRIM(H31)="",0,LEN(TRIM(H31))-LEN(SUBSTITUTE(TRIM(H31)," ",""))+1)</f>
        <v/>
      </c>
      <c r="K31" s="103">
        <f>IF(J31&gt;I31,"OVER ↑","✓")</f>
        <v/>
      </c>
      <c r="L31" s="6" t="inlineStr">
        <is>
          <t>STABLE</t>
        </is>
      </c>
      <c r="M31" s="6" t="inlineStr">
        <is>
          <t>2026-02-17</t>
        </is>
      </c>
      <c r="N31" s="6" t="inlineStr">
        <is>
          <t>J.Cranshaw</t>
        </is>
      </c>
      <c r="O31" s="6" t="inlineStr">
        <is>
          <t>2028-02-17</t>
        </is>
      </c>
      <c r="P31" s="6" t="inlineStr">
        <is>
          <t>EN</t>
        </is>
      </c>
      <c r="Q31" s="6" t="n">
        <v>0</v>
      </c>
      <c r="R31" s="6" t="n"/>
    </row>
    <row r="32" ht="40" customHeight="1">
      <c r="A32" s="3" t="inlineStr">
        <is>
          <t>P1-S3-PRE-001</t>
        </is>
      </c>
      <c r="B32" s="3" t="n">
        <v>1</v>
      </c>
      <c r="C32" s="3" t="inlineStr">
        <is>
          <t>1.3 Digital Repression</t>
        </is>
      </c>
      <c r="D32" s="3" t="inlineStr">
        <is>
          <t>digital</t>
        </is>
      </c>
      <c r="E32" s="3" t="inlineStr">
        <is>
          <t>preemptive</t>
        </is>
      </c>
      <c r="F32" s="7" t="inlineStr">
        <is>
          <t>STEP</t>
        </is>
      </c>
      <c r="G32" s="3" t="n">
        <v>1</v>
      </c>
      <c r="H32" s="3" t="inlineStr">
        <is>
          <t>Lorem ipsum dolor sit amet consectetur adipiscing elit sed do eiusmod tempor incididunt ut labore et dolore magna</t>
        </is>
      </c>
      <c r="I32" s="3" t="n">
        <v>25</v>
      </c>
      <c r="J32" s="104">
        <f>IF(TRIM(H32)="",0,LEN(TRIM(H32))-LEN(SUBSTITUTE(TRIM(H32)," ",""))+1)</f>
        <v/>
      </c>
      <c r="K32" s="103">
        <f>IF(J32&gt;I32,"OVER ↑","✓")</f>
        <v/>
      </c>
      <c r="L32" s="3" t="inlineStr">
        <is>
          <t>STABLE</t>
        </is>
      </c>
      <c r="M32" s="3" t="inlineStr">
        <is>
          <t>2026-02-17</t>
        </is>
      </c>
      <c r="N32" s="3" t="inlineStr">
        <is>
          <t>J.Cranshaw</t>
        </is>
      </c>
      <c r="O32" s="3" t="inlineStr">
        <is>
          <t>2028-02-17</t>
        </is>
      </c>
      <c r="P32" s="3" t="inlineStr">
        <is>
          <t>EN</t>
        </is>
      </c>
      <c r="Q32" s="3" t="n">
        <v>1</v>
      </c>
      <c r="R32" s="3" t="n"/>
    </row>
    <row r="33" ht="40" customHeight="1">
      <c r="A33" s="6" t="inlineStr">
        <is>
          <t>P1-S3-PRE-002</t>
        </is>
      </c>
      <c r="B33" s="6" t="n">
        <v>1</v>
      </c>
      <c r="C33" s="6" t="inlineStr">
        <is>
          <t>1.3 Digital Repression</t>
        </is>
      </c>
      <c r="D33" s="6" t="inlineStr">
        <is>
          <t>digital</t>
        </is>
      </c>
      <c r="E33" s="6" t="inlineStr">
        <is>
          <t>preemptive</t>
        </is>
      </c>
      <c r="F33" s="7" t="inlineStr">
        <is>
          <t>STEP</t>
        </is>
      </c>
      <c r="G33" s="6" t="n">
        <v>1</v>
      </c>
      <c r="H33" s="6" t="inlineStr">
        <is>
          <t>Lorem ipsum dolor sit amet consectetur adipiscing elit sed do eiusmod tempor incididunt ut labore et dolore magna</t>
        </is>
      </c>
      <c r="I33" s="6" t="n">
        <v>25</v>
      </c>
      <c r="J33" s="102">
        <f>IF(TRIM(H33)="",0,LEN(TRIM(H33))-LEN(SUBSTITUTE(TRIM(H33)," ",""))+1)</f>
        <v/>
      </c>
      <c r="K33" s="103">
        <f>IF(J33&gt;I33,"OVER ↑","✓")</f>
        <v/>
      </c>
      <c r="L33" s="6" t="inlineStr">
        <is>
          <t>STABLE</t>
        </is>
      </c>
      <c r="M33" s="6" t="inlineStr">
        <is>
          <t>2026-02-17</t>
        </is>
      </c>
      <c r="N33" s="6" t="inlineStr">
        <is>
          <t>J.Cranshaw</t>
        </is>
      </c>
      <c r="O33" s="6" t="inlineStr">
        <is>
          <t>2028-02-17</t>
        </is>
      </c>
      <c r="P33" s="6" t="inlineStr">
        <is>
          <t>EN</t>
        </is>
      </c>
      <c r="Q33" s="6" t="n">
        <v>2</v>
      </c>
      <c r="R33" s="6" t="n"/>
    </row>
    <row r="34" ht="40" customHeight="1">
      <c r="A34" s="3" t="inlineStr">
        <is>
          <t>P1-S3-PRE-003</t>
        </is>
      </c>
      <c r="B34" s="3" t="n">
        <v>1</v>
      </c>
      <c r="C34" s="3" t="inlineStr">
        <is>
          <t>1.3 Digital Repression</t>
        </is>
      </c>
      <c r="D34" s="3" t="inlineStr">
        <is>
          <t>digital</t>
        </is>
      </c>
      <c r="E34" s="3" t="inlineStr">
        <is>
          <t>preemptive</t>
        </is>
      </c>
      <c r="F34" s="7" t="inlineStr">
        <is>
          <t>STEP</t>
        </is>
      </c>
      <c r="G34" s="3" t="n">
        <v>1</v>
      </c>
      <c r="H34" s="3" t="inlineStr">
        <is>
          <t>Lorem ipsum dolor sit amet consectetur adipiscing elit sed do eiusmod tempor incididunt ut labore et dolore magna</t>
        </is>
      </c>
      <c r="I34" s="3" t="n">
        <v>25</v>
      </c>
      <c r="J34" s="104">
        <f>IF(TRIM(H34)="",0,LEN(TRIM(H34))-LEN(SUBSTITUTE(TRIM(H34)," ",""))+1)</f>
        <v/>
      </c>
      <c r="K34" s="103">
        <f>IF(J34&gt;I34,"OVER ↑","✓")</f>
        <v/>
      </c>
      <c r="L34" s="3" t="inlineStr">
        <is>
          <t>STABLE</t>
        </is>
      </c>
      <c r="M34" s="3" t="inlineStr">
        <is>
          <t>2026-02-17</t>
        </is>
      </c>
      <c r="N34" s="3" t="inlineStr">
        <is>
          <t>J.Cranshaw</t>
        </is>
      </c>
      <c r="O34" s="3" t="inlineStr">
        <is>
          <t>2028-02-17</t>
        </is>
      </c>
      <c r="P34" s="3" t="inlineStr">
        <is>
          <t>EN</t>
        </is>
      </c>
      <c r="Q34" s="3" t="n">
        <v>3</v>
      </c>
      <c r="R34" s="3" t="n"/>
    </row>
    <row r="35" ht="40" customHeight="1">
      <c r="A35" s="6" t="inlineStr">
        <is>
          <t>P1-S3-PRE-TIP</t>
        </is>
      </c>
      <c r="B35" s="6" t="n">
        <v>1</v>
      </c>
      <c r="C35" s="6" t="inlineStr">
        <is>
          <t>1.3 Digital Repression</t>
        </is>
      </c>
      <c r="D35" s="6" t="inlineStr">
        <is>
          <t>digital</t>
        </is>
      </c>
      <c r="E35" s="6" t="inlineStr">
        <is>
          <t>preemptive</t>
        </is>
      </c>
      <c r="F35" s="9" t="inlineStr">
        <is>
          <t>TIP</t>
        </is>
      </c>
      <c r="G35" s="6" t="n">
        <v>1</v>
      </c>
      <c r="H35" s="6" t="inlineStr">
        <is>
          <t>Lorem ipsum dolor sit amet consectetur adipiscing elit sed do eiusmod tempor incididunt ut labore et dolore magna aliqua ut enim ad minim veniam quis nostrud</t>
        </is>
      </c>
      <c r="I35" s="6" t="n">
        <v>35</v>
      </c>
      <c r="J35" s="102">
        <f>IF(TRIM(H35)="",0,LEN(TRIM(H35))-LEN(SUBSTITUTE(TRIM(H35)," ",""))+1)</f>
        <v/>
      </c>
      <c r="K35" s="103">
        <f>IF(J35&gt;I35,"OVER ↑","✓")</f>
        <v/>
      </c>
      <c r="L35" s="6" t="inlineStr">
        <is>
          <t>HIGH-CHURN</t>
        </is>
      </c>
      <c r="M35" s="6" t="inlineStr">
        <is>
          <t>2026-02-17</t>
        </is>
      </c>
      <c r="N35" s="6" t="inlineStr">
        <is>
          <t>J.Cranshaw</t>
        </is>
      </c>
      <c r="O35" s="6" t="inlineStr">
        <is>
          <t>2027-02-17</t>
        </is>
      </c>
      <c r="P35" s="6" t="inlineStr">
        <is>
          <t>EN</t>
        </is>
      </c>
      <c r="Q35" s="6" t="n">
        <v>4</v>
      </c>
      <c r="R35" s="6" t="n"/>
    </row>
    <row r="36" ht="40" customHeight="1">
      <c r="A36" s="6" t="inlineStr">
        <is>
          <t>P1-S3-INTRO-001</t>
        </is>
      </c>
      <c r="B36" s="6" t="n">
        <v>1</v>
      </c>
      <c r="C36" s="6" t="inlineStr">
        <is>
          <t>1.3 Digital Repression</t>
        </is>
      </c>
      <c r="D36" s="6" t="inlineStr">
        <is>
          <t>digital</t>
        </is>
      </c>
      <c r="E36" s="6" t="inlineStr">
        <is>
          <t>general</t>
        </is>
      </c>
      <c r="F36" s="4" t="inlineStr">
        <is>
          <t>INTRO</t>
        </is>
      </c>
      <c r="G36" s="6" t="n">
        <v>1</v>
      </c>
      <c r="H36" s="6"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t>
        </is>
      </c>
      <c r="I36" s="6" t="n">
        <v>60</v>
      </c>
      <c r="J36" s="102">
        <f>IF(TRIM(H36)="",0,LEN(TRIM(H36))-LEN(SUBSTITUTE(TRIM(H36)," ",""))+1)</f>
        <v/>
      </c>
      <c r="K36" s="103">
        <f>IF(J36&gt;I36,"OVER ↑","✓")</f>
        <v/>
      </c>
      <c r="L36" s="6" t="inlineStr">
        <is>
          <t>HIGH-CHURN</t>
        </is>
      </c>
      <c r="M36" s="6" t="inlineStr">
        <is>
          <t>2026-02-17</t>
        </is>
      </c>
      <c r="N36" s="6" t="inlineStr">
        <is>
          <t>J.Cranshaw</t>
        </is>
      </c>
      <c r="O36" s="6" t="inlineStr">
        <is>
          <t>2027-02-17</t>
        </is>
      </c>
      <c r="P36" s="6" t="inlineStr">
        <is>
          <t>EN</t>
        </is>
      </c>
      <c r="Q36" s="6" t="n">
        <v>1</v>
      </c>
      <c r="R36" s="6" t="n"/>
    </row>
    <row r="37" ht="40" customHeight="1">
      <c r="A37" s="3" t="inlineStr">
        <is>
          <t>P1-S3-STEP-004</t>
        </is>
      </c>
      <c r="B37" s="3" t="n">
        <v>1</v>
      </c>
      <c r="C37" s="3" t="inlineStr">
        <is>
          <t>1.3 Digital Repression</t>
        </is>
      </c>
      <c r="D37" s="3" t="inlineStr">
        <is>
          <t>digital</t>
        </is>
      </c>
      <c r="E37" s="3" t="inlineStr">
        <is>
          <t>first-hour</t>
        </is>
      </c>
      <c r="F37" s="7" t="inlineStr">
        <is>
          <t>STEP</t>
        </is>
      </c>
      <c r="G37" s="3" t="n">
        <v>1</v>
      </c>
      <c r="H37" s="3" t="inlineStr">
        <is>
          <t>Lorem ipsum dolor sit amet consectetur adipiscing elit sed do eiusmod tempor incididunt ut labore et dolore magna</t>
        </is>
      </c>
      <c r="I37" s="3" t="n">
        <v>25</v>
      </c>
      <c r="J37" s="104">
        <f>IF(TRIM(H37)="",0,LEN(TRIM(H37))-LEN(SUBSTITUTE(TRIM(H37)," ",""))+1)</f>
        <v/>
      </c>
      <c r="K37" s="103">
        <f>IF(J37&gt;I37,"OVER ↑","✓")</f>
        <v/>
      </c>
      <c r="L37" s="3" t="inlineStr">
        <is>
          <t>STABLE</t>
        </is>
      </c>
      <c r="M37" s="3" t="inlineStr">
        <is>
          <t>2026-02-17</t>
        </is>
      </c>
      <c r="N37" s="3" t="inlineStr">
        <is>
          <t>J.Cranshaw</t>
        </is>
      </c>
      <c r="O37" s="3" t="inlineStr">
        <is>
          <t>2028-02-17</t>
        </is>
      </c>
      <c r="P37" s="3" t="inlineStr">
        <is>
          <t>EN</t>
        </is>
      </c>
      <c r="Q37" s="3" t="n">
        <v>6</v>
      </c>
      <c r="R37" s="3" t="n"/>
    </row>
    <row r="38" ht="40" customHeight="1">
      <c r="A38" s="6" t="inlineStr">
        <is>
          <t>P1-S3-STEP-005</t>
        </is>
      </c>
      <c r="B38" s="6" t="n">
        <v>1</v>
      </c>
      <c r="C38" s="6" t="inlineStr">
        <is>
          <t>1.3 Digital Repression</t>
        </is>
      </c>
      <c r="D38" s="6" t="inlineStr">
        <is>
          <t>digital</t>
        </is>
      </c>
      <c r="E38" s="6" t="inlineStr">
        <is>
          <t>first-hour</t>
        </is>
      </c>
      <c r="F38" s="7" t="inlineStr">
        <is>
          <t>STEP</t>
        </is>
      </c>
      <c r="G38" s="6" t="n">
        <v>1</v>
      </c>
      <c r="H38" s="6" t="inlineStr">
        <is>
          <t>Lorem ipsum dolor sit amet consectetur adipiscing elit sed do eiusmod tempor incididunt ut labore et dolore magna</t>
        </is>
      </c>
      <c r="I38" s="6" t="n">
        <v>25</v>
      </c>
      <c r="J38" s="102">
        <f>IF(TRIM(H38)="",0,LEN(TRIM(H38))-LEN(SUBSTITUTE(TRIM(H38)," ",""))+1)</f>
        <v/>
      </c>
      <c r="K38" s="103">
        <f>IF(J38&gt;I38,"OVER ↑","✓")</f>
        <v/>
      </c>
      <c r="L38" s="6" t="inlineStr">
        <is>
          <t>STABLE</t>
        </is>
      </c>
      <c r="M38" s="6" t="inlineStr">
        <is>
          <t>2026-02-17</t>
        </is>
      </c>
      <c r="N38" s="6" t="inlineStr">
        <is>
          <t>J.Cranshaw</t>
        </is>
      </c>
      <c r="O38" s="6" t="inlineStr">
        <is>
          <t>2028-02-17</t>
        </is>
      </c>
      <c r="P38" s="6" t="inlineStr">
        <is>
          <t>EN</t>
        </is>
      </c>
      <c r="Q38" s="6" t="n">
        <v>7</v>
      </c>
      <c r="R38" s="6" t="n"/>
    </row>
    <row r="39" ht="40" customHeight="1">
      <c r="A39" s="3" t="inlineStr">
        <is>
          <t>P1-S3-STEP-006</t>
        </is>
      </c>
      <c r="B39" s="3" t="n">
        <v>1</v>
      </c>
      <c r="C39" s="3" t="inlineStr">
        <is>
          <t>1.3 Digital Repression</t>
        </is>
      </c>
      <c r="D39" s="3" t="inlineStr">
        <is>
          <t>digital</t>
        </is>
      </c>
      <c r="E39" s="3" t="inlineStr">
        <is>
          <t>first-hour</t>
        </is>
      </c>
      <c r="F39" s="7" t="inlineStr">
        <is>
          <t>STEP</t>
        </is>
      </c>
      <c r="G39" s="3" t="n">
        <v>1</v>
      </c>
      <c r="H39" s="3" t="inlineStr">
        <is>
          <t>Lorem ipsum dolor sit amet consectetur adipiscing elit sed do eiusmod tempor incididunt ut labore et dolore magna</t>
        </is>
      </c>
      <c r="I39" s="3" t="n">
        <v>25</v>
      </c>
      <c r="J39" s="104">
        <f>IF(TRIM(H39)="",0,LEN(TRIM(H39))-LEN(SUBSTITUTE(TRIM(H39)," ",""))+1)</f>
        <v/>
      </c>
      <c r="K39" s="103">
        <f>IF(J39&gt;I39,"OVER ↑","✓")</f>
        <v/>
      </c>
      <c r="L39" s="3" t="inlineStr">
        <is>
          <t>HIGH-CHURN</t>
        </is>
      </c>
      <c r="M39" s="3" t="inlineStr">
        <is>
          <t>2026-02-17</t>
        </is>
      </c>
      <c r="N39" s="3" t="inlineStr">
        <is>
          <t>J.Cranshaw</t>
        </is>
      </c>
      <c r="O39" s="3" t="inlineStr">
        <is>
          <t>2027-02-17</t>
        </is>
      </c>
      <c r="P39" s="3" t="inlineStr">
        <is>
          <t>EN</t>
        </is>
      </c>
      <c r="Q39" s="3" t="n">
        <v>8</v>
      </c>
      <c r="R39" s="3" t="inlineStr">
        <is>
          <t>Verify contact method annually</t>
        </is>
      </c>
    </row>
    <row r="40" ht="40" customHeight="1">
      <c r="A40" s="6" t="inlineStr">
        <is>
          <t>P1-S3-MREF-001</t>
        </is>
      </c>
      <c r="B40" s="6" t="n">
        <v>1</v>
      </c>
      <c r="C40" s="6" t="inlineStr">
        <is>
          <t>1.3 Digital Repression</t>
        </is>
      </c>
      <c r="D40" s="6" t="inlineStr">
        <is>
          <t>digital</t>
        </is>
      </c>
      <c r="E40" s="6" t="inlineStr">
        <is>
          <t>first-hour</t>
        </is>
      </c>
      <c r="F40" s="7" t="inlineStr">
        <is>
          <t>MECHANISM-REF</t>
        </is>
      </c>
      <c r="G40" s="6" t="n">
        <v>1</v>
      </c>
      <c r="H40" s="6" t="inlineStr">
        <is>
          <t>→ Digital: Access Now Helpline (MECH-D-001)</t>
        </is>
      </c>
      <c r="I40" s="6" t="n">
        <v>15</v>
      </c>
      <c r="J40" s="102">
        <f>IF(TRIM(H40)="",0,LEN(TRIM(H40))-LEN(SUBSTITUTE(TRIM(H40)," ",""))+1)</f>
        <v/>
      </c>
      <c r="K40" s="103">
        <f>IF(J40&gt;I40,"OVER ↑","✓")</f>
        <v/>
      </c>
      <c r="L40" s="6" t="inlineStr">
        <is>
          <t>HIGH-CHURN</t>
        </is>
      </c>
      <c r="M40" s="6" t="inlineStr">
        <is>
          <t>2026-02-17</t>
        </is>
      </c>
      <c r="N40" s="6" t="inlineStr">
        <is>
          <t>J.Cranshaw</t>
        </is>
      </c>
      <c r="O40" s="6" t="inlineStr">
        <is>
          <t>2027-02-17</t>
        </is>
      </c>
      <c r="P40" s="6" t="inlineStr">
        <is>
          <t>EN</t>
        </is>
      </c>
      <c r="Q40" s="6" t="n">
        <v>9</v>
      </c>
      <c r="R40" s="6" t="n"/>
    </row>
    <row r="41" ht="40" customHeight="1">
      <c r="A41" s="3" t="inlineStr">
        <is>
          <t>P1-S3-WARNING-001</t>
        </is>
      </c>
      <c r="B41" s="3" t="n">
        <v>1</v>
      </c>
      <c r="C41" s="3" t="inlineStr">
        <is>
          <t>1.3 Digital Repression</t>
        </is>
      </c>
      <c r="D41" s="3" t="inlineStr">
        <is>
          <t>digital</t>
        </is>
      </c>
      <c r="E41" s="3" t="inlineStr">
        <is>
          <t>first-hour</t>
        </is>
      </c>
      <c r="F41" s="10" t="inlineStr">
        <is>
          <t>WARNING</t>
        </is>
      </c>
      <c r="G41" s="3" t="n">
        <v>1</v>
      </c>
      <c r="H41" s="3" t="inlineStr">
        <is>
          <t>Lorem ipsum dolor sit amet consectetur adipiscing elit sed do eiusmod tempor incididunt ut labore et dolore magna aliqua ut enim ad minim veniam quis nostrud</t>
        </is>
      </c>
      <c r="I41" s="3" t="n">
        <v>35</v>
      </c>
      <c r="J41" s="104">
        <f>IF(TRIM(H41)="",0,LEN(TRIM(H41))-LEN(SUBSTITUTE(TRIM(H41)," ",""))+1)</f>
        <v/>
      </c>
      <c r="K41" s="103">
        <f>IF(J41&gt;I41,"OVER ↑","✓")</f>
        <v/>
      </c>
      <c r="L41" s="3" t="inlineStr">
        <is>
          <t>STABLE</t>
        </is>
      </c>
      <c r="M41" s="3" t="inlineStr">
        <is>
          <t>2026-02-17</t>
        </is>
      </c>
      <c r="N41" s="3" t="inlineStr">
        <is>
          <t>J.Cranshaw</t>
        </is>
      </c>
      <c r="O41" s="3" t="inlineStr">
        <is>
          <t>2028-02-17</t>
        </is>
      </c>
      <c r="P41" s="3" t="inlineStr">
        <is>
          <t>EN</t>
        </is>
      </c>
      <c r="Q41" s="3" t="n">
        <v>10</v>
      </c>
      <c r="R41" s="3" t="n"/>
    </row>
    <row r="42" ht="40" customHeight="1">
      <c r="A42" s="6" t="inlineStr">
        <is>
          <t>P1-S3-STEP-007</t>
        </is>
      </c>
      <c r="B42" s="6" t="n">
        <v>1</v>
      </c>
      <c r="C42" s="6" t="inlineStr">
        <is>
          <t>1.3 Digital Repression</t>
        </is>
      </c>
      <c r="D42" s="6" t="inlineStr">
        <is>
          <t>digital</t>
        </is>
      </c>
      <c r="E42" s="6" t="inlineStr">
        <is>
          <t>first-24hrs</t>
        </is>
      </c>
      <c r="F42" s="7" t="inlineStr">
        <is>
          <t>STEP</t>
        </is>
      </c>
      <c r="G42" s="6" t="n">
        <v>1</v>
      </c>
      <c r="H42" s="6" t="inlineStr">
        <is>
          <t>Lorem ipsum dolor sit amet consectetur adipiscing elit sed do eiusmod tempor incididunt ut labore et dolore magna</t>
        </is>
      </c>
      <c r="I42" s="6" t="n">
        <v>25</v>
      </c>
      <c r="J42" s="102">
        <f>IF(TRIM(H42)="",0,LEN(TRIM(H42))-LEN(SUBSTITUTE(TRIM(H42)," ",""))+1)</f>
        <v/>
      </c>
      <c r="K42" s="103">
        <f>IF(J42&gt;I42,"OVER ↑","✓")</f>
        <v/>
      </c>
      <c r="L42" s="6" t="inlineStr">
        <is>
          <t>STABLE</t>
        </is>
      </c>
      <c r="M42" s="6" t="inlineStr">
        <is>
          <t>2026-02-17</t>
        </is>
      </c>
      <c r="N42" s="6" t="inlineStr">
        <is>
          <t>J.Cranshaw</t>
        </is>
      </c>
      <c r="O42" s="6" t="inlineStr">
        <is>
          <t>2028-02-17</t>
        </is>
      </c>
      <c r="P42" s="6" t="inlineStr">
        <is>
          <t>EN</t>
        </is>
      </c>
      <c r="Q42" s="6" t="n">
        <v>11</v>
      </c>
      <c r="R42" s="6" t="n"/>
    </row>
    <row r="43" ht="40" customHeight="1">
      <c r="A43" s="3" t="inlineStr">
        <is>
          <t>P1-S3-STEP-008</t>
        </is>
      </c>
      <c r="B43" s="3" t="n">
        <v>1</v>
      </c>
      <c r="C43" s="3" t="inlineStr">
        <is>
          <t>1.3 Digital Repression</t>
        </is>
      </c>
      <c r="D43" s="3" t="inlineStr">
        <is>
          <t>digital</t>
        </is>
      </c>
      <c r="E43" s="3" t="inlineStr">
        <is>
          <t>first-24hrs</t>
        </is>
      </c>
      <c r="F43" s="7" t="inlineStr">
        <is>
          <t>STEP</t>
        </is>
      </c>
      <c r="G43" s="3" t="n">
        <v>1</v>
      </c>
      <c r="H43" s="3" t="inlineStr">
        <is>
          <t>Lorem ipsum dolor sit amet consectetur adipiscing elit sed do eiusmod tempor incididunt ut labore et dolore magna</t>
        </is>
      </c>
      <c r="I43" s="3" t="n">
        <v>25</v>
      </c>
      <c r="J43" s="104">
        <f>IF(TRIM(H43)="",0,LEN(TRIM(H43))-LEN(SUBSTITUTE(TRIM(H43)," ",""))+1)</f>
        <v/>
      </c>
      <c r="K43" s="103">
        <f>IF(J43&gt;I43,"OVER ↑","✓")</f>
        <v/>
      </c>
      <c r="L43" s="3" t="inlineStr">
        <is>
          <t>STABLE</t>
        </is>
      </c>
      <c r="M43" s="3" t="inlineStr">
        <is>
          <t>2026-02-17</t>
        </is>
      </c>
      <c r="N43" s="3" t="inlineStr">
        <is>
          <t>J.Cranshaw</t>
        </is>
      </c>
      <c r="O43" s="3" t="inlineStr">
        <is>
          <t>2028-02-17</t>
        </is>
      </c>
      <c r="P43" s="3" t="inlineStr">
        <is>
          <t>EN</t>
        </is>
      </c>
      <c r="Q43" s="3" t="n">
        <v>12</v>
      </c>
      <c r="R43" s="3" t="n"/>
    </row>
    <row r="44" ht="40" customHeight="1">
      <c r="A44" s="6" t="inlineStr">
        <is>
          <t>P1-S3-DECISION-001</t>
        </is>
      </c>
      <c r="B44" s="6" t="n">
        <v>1</v>
      </c>
      <c r="C44" s="6" t="inlineStr">
        <is>
          <t>1.3 Digital Repression</t>
        </is>
      </c>
      <c r="D44" s="6" t="inlineStr">
        <is>
          <t>digital</t>
        </is>
      </c>
      <c r="E44" s="6" t="inlineStr">
        <is>
          <t>first-24hrs</t>
        </is>
      </c>
      <c r="F44" s="12" t="inlineStr">
        <is>
          <t>DECISION-Q</t>
        </is>
      </c>
      <c r="G44" s="6" t="n">
        <v>1</v>
      </c>
      <c r="H44" s="6" t="inlineStr">
        <is>
          <t>Lorem ipsum dolor sit amet consectetur adipiscing elit sed do eiusmod tempor incididunt ut labore</t>
        </is>
      </c>
      <c r="I44" s="6" t="n">
        <v>20</v>
      </c>
      <c r="J44" s="102">
        <f>IF(TRIM(H44)="",0,LEN(TRIM(H44))-LEN(SUBSTITUTE(TRIM(H44)," ",""))+1)</f>
        <v/>
      </c>
      <c r="K44" s="103">
        <f>IF(J44&gt;I44,"OVER ↑","✓")</f>
        <v/>
      </c>
      <c r="L44" s="6" t="inlineStr">
        <is>
          <t>STABLE</t>
        </is>
      </c>
      <c r="M44" s="6" t="inlineStr">
        <is>
          <t>2026-02-17</t>
        </is>
      </c>
      <c r="N44" s="6" t="inlineStr">
        <is>
          <t>J.Cranshaw</t>
        </is>
      </c>
      <c r="O44" s="6" t="inlineStr">
        <is>
          <t>2028-02-17</t>
        </is>
      </c>
      <c r="P44" s="6" t="inlineStr">
        <is>
          <t>EN</t>
        </is>
      </c>
      <c r="Q44" s="6" t="n">
        <v>13</v>
      </c>
      <c r="R44" s="6" t="n"/>
    </row>
    <row r="45" ht="40" customHeight="1">
      <c r="A45" s="3" t="inlineStr">
        <is>
          <t>P1-S3-DECISION-002</t>
        </is>
      </c>
      <c r="B45" s="3" t="n">
        <v>1</v>
      </c>
      <c r="C45" s="3" t="inlineStr">
        <is>
          <t>1.3 Digital Repression</t>
        </is>
      </c>
      <c r="D45" s="3" t="inlineStr">
        <is>
          <t>digital</t>
        </is>
      </c>
      <c r="E45" s="3" t="inlineStr">
        <is>
          <t>first-24hrs</t>
        </is>
      </c>
      <c r="F45" s="13" t="inlineStr">
        <is>
          <t>DECISION-A</t>
        </is>
      </c>
      <c r="G45" s="3" t="n">
        <v>1</v>
      </c>
      <c r="H45" s="3" t="inlineStr">
        <is>
          <t>Lorem ipsum dolor sit amet consectetur</t>
        </is>
      </c>
      <c r="I45" s="3" t="n">
        <v>8</v>
      </c>
      <c r="J45" s="104">
        <f>IF(TRIM(H45)="",0,LEN(TRIM(H45))-LEN(SUBSTITUTE(TRIM(H45)," ",""))+1)</f>
        <v/>
      </c>
      <c r="K45" s="103">
        <f>IF(J45&gt;I45,"OVER ↑","✓")</f>
        <v/>
      </c>
      <c r="L45" s="3" t="inlineStr">
        <is>
          <t>STABLE</t>
        </is>
      </c>
      <c r="M45" s="3" t="inlineStr">
        <is>
          <t>2026-02-17</t>
        </is>
      </c>
      <c r="N45" s="3" t="inlineStr">
        <is>
          <t>J.Cranshaw</t>
        </is>
      </c>
      <c r="O45" s="3" t="inlineStr">
        <is>
          <t>2028-02-17</t>
        </is>
      </c>
      <c r="P45" s="3" t="inlineStr">
        <is>
          <t>EN</t>
        </is>
      </c>
      <c r="Q45" s="3" t="n">
        <v>14</v>
      </c>
      <c r="R45" s="3" t="n"/>
    </row>
    <row r="46" ht="40" customHeight="1">
      <c r="A46" s="6" t="inlineStr">
        <is>
          <t>P1-S3-DECISION-003</t>
        </is>
      </c>
      <c r="B46" s="6" t="n">
        <v>1</v>
      </c>
      <c r="C46" s="6" t="inlineStr">
        <is>
          <t>1.3 Digital Repression</t>
        </is>
      </c>
      <c r="D46" s="6" t="inlineStr">
        <is>
          <t>digital</t>
        </is>
      </c>
      <c r="E46" s="6" t="inlineStr">
        <is>
          <t>first-24hrs</t>
        </is>
      </c>
      <c r="F46" s="13" t="inlineStr">
        <is>
          <t>DECISION-A</t>
        </is>
      </c>
      <c r="G46" s="6" t="n">
        <v>1</v>
      </c>
      <c r="H46" s="6" t="inlineStr">
        <is>
          <t>Lorem ipsum dolor sit amet consectetur</t>
        </is>
      </c>
      <c r="I46" s="6" t="n">
        <v>8</v>
      </c>
      <c r="J46" s="102">
        <f>IF(TRIM(H46)="",0,LEN(TRIM(H46))-LEN(SUBSTITUTE(TRIM(H46)," ",""))+1)</f>
        <v/>
      </c>
      <c r="K46" s="103">
        <f>IF(J46&gt;I46,"OVER ↑","✓")</f>
        <v/>
      </c>
      <c r="L46" s="6" t="inlineStr">
        <is>
          <t>STABLE</t>
        </is>
      </c>
      <c r="M46" s="6" t="inlineStr">
        <is>
          <t>2026-02-17</t>
        </is>
      </c>
      <c r="N46" s="6" t="inlineStr">
        <is>
          <t>J.Cranshaw</t>
        </is>
      </c>
      <c r="O46" s="6" t="inlineStr">
        <is>
          <t>2028-02-17</t>
        </is>
      </c>
      <c r="P46" s="6" t="inlineStr">
        <is>
          <t>EN</t>
        </is>
      </c>
      <c r="Q46" s="6" t="n">
        <v>15</v>
      </c>
      <c r="R46" s="6" t="n"/>
    </row>
    <row r="47" ht="40" customHeight="1">
      <c r="A47" s="3" t="inlineStr">
        <is>
          <t>P1-S3-TIP-002</t>
        </is>
      </c>
      <c r="B47" s="3" t="n">
        <v>1</v>
      </c>
      <c r="C47" s="3" t="inlineStr">
        <is>
          <t>1.3 Digital Repression</t>
        </is>
      </c>
      <c r="D47" s="3" t="inlineStr">
        <is>
          <t>digital</t>
        </is>
      </c>
      <c r="E47" s="3" t="inlineStr">
        <is>
          <t>first-24hrs</t>
        </is>
      </c>
      <c r="F47" s="9" t="inlineStr">
        <is>
          <t>TIP</t>
        </is>
      </c>
      <c r="G47" s="3" t="n">
        <v>1</v>
      </c>
      <c r="H47" s="3" t="inlineStr">
        <is>
          <t>Lorem ipsum dolor sit amet consectetur adipiscing elit sed do eiusmod tempor incididunt ut labore et dolore magna aliqua ut enim ad minim veniam quis nostrud</t>
        </is>
      </c>
      <c r="I47" s="3" t="n">
        <v>35</v>
      </c>
      <c r="J47" s="104">
        <f>IF(TRIM(H47)="",0,LEN(TRIM(H47))-LEN(SUBSTITUTE(TRIM(H47)," ",""))+1)</f>
        <v/>
      </c>
      <c r="K47" s="103">
        <f>IF(J47&gt;I47,"OVER ↑","✓")</f>
        <v/>
      </c>
      <c r="L47" s="3" t="inlineStr">
        <is>
          <t>STABLE</t>
        </is>
      </c>
      <c r="M47" s="3" t="inlineStr">
        <is>
          <t>2026-02-17</t>
        </is>
      </c>
      <c r="N47" s="3" t="inlineStr">
        <is>
          <t>J.Cranshaw</t>
        </is>
      </c>
      <c r="O47" s="3" t="inlineStr">
        <is>
          <t>2028-02-17</t>
        </is>
      </c>
      <c r="P47" s="3" t="inlineStr">
        <is>
          <t>EN</t>
        </is>
      </c>
      <c r="Q47" s="3" t="n">
        <v>16</v>
      </c>
      <c r="R47" s="3" t="n"/>
    </row>
    <row r="48" ht="40" customHeight="1">
      <c r="A48" s="6" t="inlineStr">
        <is>
          <t>P1-S3-STEP-009</t>
        </is>
      </c>
      <c r="B48" s="6" t="n">
        <v>1</v>
      </c>
      <c r="C48" s="6" t="inlineStr">
        <is>
          <t>1.3 Digital Repression</t>
        </is>
      </c>
      <c r="D48" s="6" t="inlineStr">
        <is>
          <t>digital</t>
        </is>
      </c>
      <c r="E48" s="6" t="inlineStr">
        <is>
          <t>first-72hrs</t>
        </is>
      </c>
      <c r="F48" s="7" t="inlineStr">
        <is>
          <t>STEP</t>
        </is>
      </c>
      <c r="G48" s="6" t="n">
        <v>1</v>
      </c>
      <c r="H48" s="6" t="inlineStr">
        <is>
          <t>Lorem ipsum dolor sit amet consectetur adipiscing elit sed do eiusmod tempor incididunt ut labore et dolore magna</t>
        </is>
      </c>
      <c r="I48" s="6" t="n">
        <v>25</v>
      </c>
      <c r="J48" s="102">
        <f>IF(TRIM(H48)="",0,LEN(TRIM(H48))-LEN(SUBSTITUTE(TRIM(H48)," ",""))+1)</f>
        <v/>
      </c>
      <c r="K48" s="103">
        <f>IF(J48&gt;I48,"OVER ↑","✓")</f>
        <v/>
      </c>
      <c r="L48" s="6" t="inlineStr">
        <is>
          <t>STABLE</t>
        </is>
      </c>
      <c r="M48" s="6" t="inlineStr">
        <is>
          <t>2026-02-17</t>
        </is>
      </c>
      <c r="N48" s="6" t="inlineStr">
        <is>
          <t>J.Cranshaw</t>
        </is>
      </c>
      <c r="O48" s="6" t="inlineStr">
        <is>
          <t>2028-02-17</t>
        </is>
      </c>
      <c r="P48" s="6" t="inlineStr">
        <is>
          <t>EN</t>
        </is>
      </c>
      <c r="Q48" s="6" t="n">
        <v>17</v>
      </c>
      <c r="R48" s="6" t="n"/>
    </row>
    <row r="49" ht="40" customHeight="1">
      <c r="A49" s="3" t="inlineStr">
        <is>
          <t>P1-S3-STEP-010</t>
        </is>
      </c>
      <c r="B49" s="3" t="n">
        <v>1</v>
      </c>
      <c r="C49" s="3" t="inlineStr">
        <is>
          <t>1.3 Digital Repression</t>
        </is>
      </c>
      <c r="D49" s="3" t="inlineStr">
        <is>
          <t>digital</t>
        </is>
      </c>
      <c r="E49" s="3" t="inlineStr">
        <is>
          <t>first-72hrs</t>
        </is>
      </c>
      <c r="F49" s="7" t="inlineStr">
        <is>
          <t>STEP</t>
        </is>
      </c>
      <c r="G49" s="3" t="n">
        <v>1</v>
      </c>
      <c r="H49" s="3" t="inlineStr">
        <is>
          <t>Lorem ipsum dolor sit amet consectetur adipiscing elit sed do eiusmod tempor incididunt ut labore et dolore magna</t>
        </is>
      </c>
      <c r="I49" s="3" t="n">
        <v>25</v>
      </c>
      <c r="J49" s="104">
        <f>IF(TRIM(H49)="",0,LEN(TRIM(H49))-LEN(SUBSTITUTE(TRIM(H49)," ",""))+1)</f>
        <v/>
      </c>
      <c r="K49" s="103">
        <f>IF(J49&gt;I49,"OVER ↑","✓")</f>
        <v/>
      </c>
      <c r="L49" s="3" t="inlineStr">
        <is>
          <t>STABLE</t>
        </is>
      </c>
      <c r="M49" s="3" t="inlineStr">
        <is>
          <t>2026-02-17</t>
        </is>
      </c>
      <c r="N49" s="3" t="inlineStr">
        <is>
          <t>J.Cranshaw</t>
        </is>
      </c>
      <c r="O49" s="3" t="inlineStr">
        <is>
          <t>2028-02-17</t>
        </is>
      </c>
      <c r="P49" s="3" t="inlineStr">
        <is>
          <t>EN</t>
        </is>
      </c>
      <c r="Q49" s="3" t="n">
        <v>18</v>
      </c>
      <c r="R49" s="3" t="n"/>
    </row>
    <row r="50" ht="40" customHeight="1">
      <c r="A50" s="6" t="inlineStr">
        <is>
          <t>P1-S3-DBREF-001</t>
        </is>
      </c>
      <c r="B50" s="6" t="n">
        <v>1</v>
      </c>
      <c r="C50" s="6" t="inlineStr">
        <is>
          <t>1.3 Digital Repression</t>
        </is>
      </c>
      <c r="D50" s="6" t="inlineStr">
        <is>
          <t>digital</t>
        </is>
      </c>
      <c r="E50" s="6" t="inlineStr">
        <is>
          <t>first-72hrs</t>
        </is>
      </c>
      <c r="F50" s="16" t="inlineStr">
        <is>
          <t>DB-REF</t>
        </is>
      </c>
      <c r="G50" s="6" t="n">
        <v>1</v>
      </c>
      <c r="H50" s="6" t="inlineStr">
        <is>
          <t>Lorem ipsum dolor sit amet consectetur adipiscing elit sed do eiusmod tempor incididunt ut labore et dolore magna aliqua ut enim ad minim veniam quis nostrud exercitation ullamco laboris nisi</t>
        </is>
      </c>
      <c r="I50" s="6" t="n">
        <v>40</v>
      </c>
      <c r="J50" s="102">
        <f>IF(TRIM(H50)="",0,LEN(TRIM(H50))-LEN(SUBSTITUTE(TRIM(H50)," ",""))+1)</f>
        <v/>
      </c>
      <c r="K50" s="103">
        <f>IF(J50&gt;I50,"OVER ↑","✓")</f>
        <v/>
      </c>
      <c r="L50" s="6" t="inlineStr">
        <is>
          <t>HIGH-CHURN</t>
        </is>
      </c>
      <c r="M50" s="6" t="inlineStr">
        <is>
          <t>2026-02-17</t>
        </is>
      </c>
      <c r="N50" s="6" t="inlineStr">
        <is>
          <t>J.Cranshaw</t>
        </is>
      </c>
      <c r="O50" s="6" t="inlineStr">
        <is>
          <t>2027-02-17</t>
        </is>
      </c>
      <c r="P50" s="6" t="inlineStr">
        <is>
          <t>EN</t>
        </is>
      </c>
      <c r="Q50" s="6" t="n">
        <v>19</v>
      </c>
      <c r="R50" s="6" t="n"/>
    </row>
    <row r="51" ht="40" customHeight="1">
      <c r="A51" s="3" t="inlineStr">
        <is>
          <t>P1-S4-SUB-PRE</t>
        </is>
      </c>
      <c r="B51" s="3" t="n">
        <v>1</v>
      </c>
      <c r="C51" s="3" t="inlineStr">
        <is>
          <t>1.4 Stigmatisation &amp; Intimidation</t>
        </is>
      </c>
      <c r="D51" s="3" t="inlineStr">
        <is>
          <t>stigmatisation</t>
        </is>
      </c>
      <c r="E51" s="3" t="inlineStr">
        <is>
          <t>preemptive</t>
        </is>
      </c>
      <c r="F51" s="45" t="inlineStr">
        <is>
          <t>SUBSECTION</t>
        </is>
      </c>
      <c r="G51" s="3" t="n">
        <v>1</v>
      </c>
      <c r="H51" s="3" t="inlineStr">
        <is>
          <t>Lorem ipsum dolor sit amet consectetur adipiscing elit sed</t>
        </is>
      </c>
      <c r="I51" s="3" t="n">
        <v>12</v>
      </c>
      <c r="J51" s="104">
        <f>IF(TRIM(H51)="",0,LEN(TRIM(H51))-LEN(SUBSTITUTE(TRIM(H51)," ",""))+1)</f>
        <v/>
      </c>
      <c r="K51" s="103">
        <f>IF(J51&gt;I51,"OVER ↑","✓")</f>
        <v/>
      </c>
      <c r="L51" s="3" t="inlineStr">
        <is>
          <t>STABLE</t>
        </is>
      </c>
      <c r="M51" s="3" t="inlineStr">
        <is>
          <t>2026-02-17</t>
        </is>
      </c>
      <c r="N51" s="3" t="inlineStr">
        <is>
          <t>J.Cranshaw</t>
        </is>
      </c>
      <c r="O51" s="3" t="inlineStr">
        <is>
          <t>2028-02-17</t>
        </is>
      </c>
      <c r="P51" s="3" t="inlineStr">
        <is>
          <t>EN</t>
        </is>
      </c>
      <c r="Q51" s="3" t="n">
        <v>0</v>
      </c>
      <c r="R51" s="3" t="n"/>
    </row>
    <row r="52" ht="40" customHeight="1">
      <c r="A52" s="6" t="inlineStr">
        <is>
          <t>P1-S4-PRE-001</t>
        </is>
      </c>
      <c r="B52" s="6" t="n">
        <v>1</v>
      </c>
      <c r="C52" s="6" t="inlineStr">
        <is>
          <t>1.4 Stigmatisation &amp; Intimidation</t>
        </is>
      </c>
      <c r="D52" s="6" t="inlineStr">
        <is>
          <t>stigmatisation</t>
        </is>
      </c>
      <c r="E52" s="6" t="inlineStr">
        <is>
          <t>preemptive</t>
        </is>
      </c>
      <c r="F52" s="7" t="inlineStr">
        <is>
          <t>STEP</t>
        </is>
      </c>
      <c r="G52" s="6" t="n">
        <v>1</v>
      </c>
      <c r="H52" s="6" t="inlineStr">
        <is>
          <t>Lorem ipsum dolor sit amet consectetur adipiscing elit sed do eiusmod tempor incididunt ut labore et dolore magna</t>
        </is>
      </c>
      <c r="I52" s="6" t="n">
        <v>25</v>
      </c>
      <c r="J52" s="102">
        <f>IF(TRIM(H52)="",0,LEN(TRIM(H52))-LEN(SUBSTITUTE(TRIM(H52)," ",""))+1)</f>
        <v/>
      </c>
      <c r="K52" s="103">
        <f>IF(J52&gt;I52,"OVER ↑","✓")</f>
        <v/>
      </c>
      <c r="L52" s="6" t="inlineStr">
        <is>
          <t>STABLE</t>
        </is>
      </c>
      <c r="M52" s="6" t="inlineStr">
        <is>
          <t>2026-02-17</t>
        </is>
      </c>
      <c r="N52" s="6" t="inlineStr">
        <is>
          <t>J.Cranshaw</t>
        </is>
      </c>
      <c r="O52" s="6" t="inlineStr">
        <is>
          <t>2028-02-17</t>
        </is>
      </c>
      <c r="P52" s="6" t="inlineStr">
        <is>
          <t>EN</t>
        </is>
      </c>
      <c r="Q52" s="6" t="n">
        <v>1</v>
      </c>
      <c r="R52" s="6" t="n"/>
    </row>
    <row r="53" ht="40" customHeight="1">
      <c r="A53" s="3" t="inlineStr">
        <is>
          <t>P1-S4-PRE-002</t>
        </is>
      </c>
      <c r="B53" s="3" t="n">
        <v>1</v>
      </c>
      <c r="C53" s="3" t="inlineStr">
        <is>
          <t>1.4 Stigmatisation &amp; Intimidation</t>
        </is>
      </c>
      <c r="D53" s="3" t="inlineStr">
        <is>
          <t>stigmatisation</t>
        </is>
      </c>
      <c r="E53" s="3" t="inlineStr">
        <is>
          <t>preemptive</t>
        </is>
      </c>
      <c r="F53" s="7" t="inlineStr">
        <is>
          <t>STEP</t>
        </is>
      </c>
      <c r="G53" s="3" t="n">
        <v>1</v>
      </c>
      <c r="H53" s="3" t="inlineStr">
        <is>
          <t>Lorem ipsum dolor sit amet consectetur adipiscing elit sed do eiusmod tempor incididunt ut labore et dolore magna</t>
        </is>
      </c>
      <c r="I53" s="3" t="n">
        <v>25</v>
      </c>
      <c r="J53" s="104">
        <f>IF(TRIM(H53)="",0,LEN(TRIM(H53))-LEN(SUBSTITUTE(TRIM(H53)," ",""))+1)</f>
        <v/>
      </c>
      <c r="K53" s="103">
        <f>IF(J53&gt;I53,"OVER ↑","✓")</f>
        <v/>
      </c>
      <c r="L53" s="3" t="inlineStr">
        <is>
          <t>STABLE</t>
        </is>
      </c>
      <c r="M53" s="3" t="inlineStr">
        <is>
          <t>2026-02-17</t>
        </is>
      </c>
      <c r="N53" s="3" t="inlineStr">
        <is>
          <t>J.Cranshaw</t>
        </is>
      </c>
      <c r="O53" s="3" t="inlineStr">
        <is>
          <t>2028-02-17</t>
        </is>
      </c>
      <c r="P53" s="3" t="inlineStr">
        <is>
          <t>EN</t>
        </is>
      </c>
      <c r="Q53" s="3" t="n">
        <v>2</v>
      </c>
      <c r="R53" s="3" t="n"/>
    </row>
    <row r="54" ht="40" customHeight="1">
      <c r="A54" s="6" t="inlineStr">
        <is>
          <t>P1-S4-PRE-003</t>
        </is>
      </c>
      <c r="B54" s="6" t="n">
        <v>1</v>
      </c>
      <c r="C54" s="6" t="inlineStr">
        <is>
          <t>1.4 Stigmatisation &amp; Intimidation</t>
        </is>
      </c>
      <c r="D54" s="6" t="inlineStr">
        <is>
          <t>stigmatisation</t>
        </is>
      </c>
      <c r="E54" s="6" t="inlineStr">
        <is>
          <t>preemptive</t>
        </is>
      </c>
      <c r="F54" s="7" t="inlineStr">
        <is>
          <t>STEP</t>
        </is>
      </c>
      <c r="G54" s="6" t="n">
        <v>1</v>
      </c>
      <c r="H54" s="6" t="inlineStr">
        <is>
          <t>Lorem ipsum dolor sit amet consectetur adipiscing elit sed do eiusmod tempor incididunt ut labore et dolore magna</t>
        </is>
      </c>
      <c r="I54" s="6" t="n">
        <v>25</v>
      </c>
      <c r="J54" s="102">
        <f>IF(TRIM(H54)="",0,LEN(TRIM(H54))-LEN(SUBSTITUTE(TRIM(H54)," ",""))+1)</f>
        <v/>
      </c>
      <c r="K54" s="103">
        <f>IF(J54&gt;I54,"OVER ↑","✓")</f>
        <v/>
      </c>
      <c r="L54" s="6" t="inlineStr">
        <is>
          <t>STABLE</t>
        </is>
      </c>
      <c r="M54" s="6" t="inlineStr">
        <is>
          <t>2026-02-17</t>
        </is>
      </c>
      <c r="N54" s="6" t="inlineStr">
        <is>
          <t>J.Cranshaw</t>
        </is>
      </c>
      <c r="O54" s="6" t="inlineStr">
        <is>
          <t>2028-02-17</t>
        </is>
      </c>
      <c r="P54" s="6" t="inlineStr">
        <is>
          <t>EN</t>
        </is>
      </c>
      <c r="Q54" s="6" t="n">
        <v>3</v>
      </c>
      <c r="R54" s="6" t="n"/>
    </row>
    <row r="55" ht="40" customHeight="1">
      <c r="A55" s="3" t="inlineStr">
        <is>
          <t>P1-S4-PRE-TIP</t>
        </is>
      </c>
      <c r="B55" s="3" t="n">
        <v>1</v>
      </c>
      <c r="C55" s="3" t="inlineStr">
        <is>
          <t>1.4 Stigmatisation &amp; Intimidation</t>
        </is>
      </c>
      <c r="D55" s="3" t="inlineStr">
        <is>
          <t>stigmatisation</t>
        </is>
      </c>
      <c r="E55" s="3" t="inlineStr">
        <is>
          <t>preemptive</t>
        </is>
      </c>
      <c r="F55" s="9" t="inlineStr">
        <is>
          <t>TIP</t>
        </is>
      </c>
      <c r="G55" s="3" t="n">
        <v>1</v>
      </c>
      <c r="H55" s="3" t="inlineStr">
        <is>
          <t>Lorem ipsum dolor sit amet consectetur adipiscing elit sed do eiusmod tempor incididunt ut labore et dolore magna aliqua ut enim ad minim veniam quis nostrud</t>
        </is>
      </c>
      <c r="I55" s="3" t="n">
        <v>35</v>
      </c>
      <c r="J55" s="104">
        <f>IF(TRIM(H55)="",0,LEN(TRIM(H55))-LEN(SUBSTITUTE(TRIM(H55)," ",""))+1)</f>
        <v/>
      </c>
      <c r="K55" s="103">
        <f>IF(J55&gt;I55,"OVER ↑","✓")</f>
        <v/>
      </c>
      <c r="L55" s="3" t="inlineStr">
        <is>
          <t>STABLE</t>
        </is>
      </c>
      <c r="M55" s="3" t="inlineStr">
        <is>
          <t>2026-02-17</t>
        </is>
      </c>
      <c r="N55" s="3" t="inlineStr">
        <is>
          <t>J.Cranshaw</t>
        </is>
      </c>
      <c r="O55" s="3" t="inlineStr">
        <is>
          <t>2028-02-17</t>
        </is>
      </c>
      <c r="P55" s="3" t="inlineStr">
        <is>
          <t>EN</t>
        </is>
      </c>
      <c r="Q55" s="3" t="n">
        <v>4</v>
      </c>
      <c r="R55" s="3" t="n"/>
    </row>
    <row r="56" ht="40" customHeight="1">
      <c r="A56" s="3" t="inlineStr">
        <is>
          <t>P1-S4-INTRO-001</t>
        </is>
      </c>
      <c r="B56" s="3" t="n">
        <v>1</v>
      </c>
      <c r="C56" s="3" t="inlineStr">
        <is>
          <t>1.4 Stigmatisation &amp; Intimidation</t>
        </is>
      </c>
      <c r="D56" s="3" t="inlineStr">
        <is>
          <t>stigmatisation</t>
        </is>
      </c>
      <c r="E56" s="3" t="inlineStr">
        <is>
          <t>general</t>
        </is>
      </c>
      <c r="F56" s="4" t="inlineStr">
        <is>
          <t>INTRO</t>
        </is>
      </c>
      <c r="G56" s="3" t="n">
        <v>1</v>
      </c>
      <c r="H56" s="3"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t>
        </is>
      </c>
      <c r="I56" s="3" t="n">
        <v>60</v>
      </c>
      <c r="J56" s="104">
        <f>IF(TRIM(H56)="",0,LEN(TRIM(H56))-LEN(SUBSTITUTE(TRIM(H56)," ",""))+1)</f>
        <v/>
      </c>
      <c r="K56" s="103">
        <f>IF(J56&gt;I56,"OVER ↑","✓")</f>
        <v/>
      </c>
      <c r="L56" s="3" t="inlineStr">
        <is>
          <t>STABLE</t>
        </is>
      </c>
      <c r="M56" s="3" t="inlineStr">
        <is>
          <t>2026-02-17</t>
        </is>
      </c>
      <c r="N56" s="3" t="inlineStr">
        <is>
          <t>J.Cranshaw</t>
        </is>
      </c>
      <c r="O56" s="3" t="inlineStr">
        <is>
          <t>2028-02-17</t>
        </is>
      </c>
      <c r="P56" s="3" t="inlineStr">
        <is>
          <t>EN</t>
        </is>
      </c>
      <c r="Q56" s="3" t="n">
        <v>1</v>
      </c>
      <c r="R56" s="3" t="n"/>
    </row>
    <row r="57" ht="40" customHeight="1">
      <c r="A57" s="6" t="inlineStr">
        <is>
          <t>P1-S4-CASE-001</t>
        </is>
      </c>
      <c r="B57" s="6" t="n">
        <v>1</v>
      </c>
      <c r="C57" s="6" t="inlineStr">
        <is>
          <t>1.4 Stigmatisation &amp; Intimidation</t>
        </is>
      </c>
      <c r="D57" s="6" t="inlineStr">
        <is>
          <t>stigmatisation</t>
        </is>
      </c>
      <c r="E57" s="6" t="inlineStr">
        <is>
          <t>general</t>
        </is>
      </c>
      <c r="F57" s="44" t="inlineStr">
        <is>
          <t>CASE</t>
        </is>
      </c>
      <c r="G57" s="6" t="n">
        <v>1</v>
      </c>
      <c r="H57" s="6"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t>
        </is>
      </c>
      <c r="I57" s="6" t="n">
        <v>80</v>
      </c>
      <c r="J57" s="102">
        <f>IF(TRIM(H57)="",0,LEN(TRIM(H57))-LEN(SUBSTITUTE(TRIM(H57)," ",""))+1)</f>
        <v/>
      </c>
      <c r="K57" s="103">
        <f>IF(J57&gt;I57,"OVER ↑","✓")</f>
        <v/>
      </c>
      <c r="L57" s="6" t="inlineStr">
        <is>
          <t>STABLE</t>
        </is>
      </c>
      <c r="M57" s="6" t="inlineStr">
        <is>
          <t>2026-02-17</t>
        </is>
      </c>
      <c r="N57" s="6" t="inlineStr">
        <is>
          <t>J.Cranshaw</t>
        </is>
      </c>
      <c r="O57" s="6" t="inlineStr">
        <is>
          <t>2028-02-17</t>
        </is>
      </c>
      <c r="P57" s="6" t="inlineStr">
        <is>
          <t>EN</t>
        </is>
      </c>
      <c r="Q57" s="6" t="n">
        <v>10</v>
      </c>
      <c r="R57" s="6" t="inlineStr">
        <is>
          <t>Sensitivity 1 — anonymised</t>
        </is>
      </c>
    </row>
    <row r="58" ht="40" customHeight="1">
      <c r="A58" s="6" t="inlineStr">
        <is>
          <t>P1-S4-STEP-001</t>
        </is>
      </c>
      <c r="B58" s="6" t="n">
        <v>1</v>
      </c>
      <c r="C58" s="6" t="inlineStr">
        <is>
          <t>1.4 Stigmatisation &amp; Intimidation</t>
        </is>
      </c>
      <c r="D58" s="6" t="inlineStr">
        <is>
          <t>stigmatisation</t>
        </is>
      </c>
      <c r="E58" s="6" t="inlineStr">
        <is>
          <t>first-hour</t>
        </is>
      </c>
      <c r="F58" s="7" t="inlineStr">
        <is>
          <t>STEP</t>
        </is>
      </c>
      <c r="G58" s="6" t="n">
        <v>1</v>
      </c>
      <c r="H58" s="6" t="inlineStr">
        <is>
          <t>Lorem ipsum dolor sit amet consectetur adipiscing elit sed do eiusmod tempor incididunt ut labore et dolore magna</t>
        </is>
      </c>
      <c r="I58" s="6" t="n">
        <v>25</v>
      </c>
      <c r="J58" s="102">
        <f>IF(TRIM(H58)="",0,LEN(TRIM(H58))-LEN(SUBSTITUTE(TRIM(H58)," ",""))+1)</f>
        <v/>
      </c>
      <c r="K58" s="103">
        <f>IF(J58&gt;I58,"OVER ↑","✓")</f>
        <v/>
      </c>
      <c r="L58" s="6" t="inlineStr">
        <is>
          <t>STABLE</t>
        </is>
      </c>
      <c r="M58" s="6" t="inlineStr">
        <is>
          <t>2026-02-17</t>
        </is>
      </c>
      <c r="N58" s="6" t="inlineStr">
        <is>
          <t>J.Cranshaw</t>
        </is>
      </c>
      <c r="O58" s="6" t="inlineStr">
        <is>
          <t>2028-02-17</t>
        </is>
      </c>
      <c r="P58" s="6" t="inlineStr">
        <is>
          <t>EN</t>
        </is>
      </c>
      <c r="Q58" s="6" t="n">
        <v>2</v>
      </c>
      <c r="R58" s="6" t="n"/>
    </row>
    <row r="59" ht="40" customHeight="1">
      <c r="A59" s="3" t="inlineStr">
        <is>
          <t>P1-S4-STEP-002</t>
        </is>
      </c>
      <c r="B59" s="3" t="n">
        <v>1</v>
      </c>
      <c r="C59" s="3" t="inlineStr">
        <is>
          <t>1.4 Stigmatisation &amp; Intimidation</t>
        </is>
      </c>
      <c r="D59" s="3" t="inlineStr">
        <is>
          <t>stigmatisation</t>
        </is>
      </c>
      <c r="E59" s="3" t="inlineStr">
        <is>
          <t>first-hour</t>
        </is>
      </c>
      <c r="F59" s="7" t="inlineStr">
        <is>
          <t>STEP</t>
        </is>
      </c>
      <c r="G59" s="3" t="n">
        <v>1</v>
      </c>
      <c r="H59" s="3" t="inlineStr">
        <is>
          <t>Lorem ipsum dolor sit amet consectetur adipiscing elit sed do eiusmod tempor incididunt ut labore et dolore magna</t>
        </is>
      </c>
      <c r="I59" s="3" t="n">
        <v>25</v>
      </c>
      <c r="J59" s="104">
        <f>IF(TRIM(H59)="",0,LEN(TRIM(H59))-LEN(SUBSTITUTE(TRIM(H59)," ",""))+1)</f>
        <v/>
      </c>
      <c r="K59" s="103">
        <f>IF(J59&gt;I59,"OVER ↑","✓")</f>
        <v/>
      </c>
      <c r="L59" s="3" t="inlineStr">
        <is>
          <t>STABLE</t>
        </is>
      </c>
      <c r="M59" s="3" t="inlineStr">
        <is>
          <t>2026-02-17</t>
        </is>
      </c>
      <c r="N59" s="3" t="inlineStr">
        <is>
          <t>J.Cranshaw</t>
        </is>
      </c>
      <c r="O59" s="3" t="inlineStr">
        <is>
          <t>2028-02-17</t>
        </is>
      </c>
      <c r="P59" s="3" t="inlineStr">
        <is>
          <t>EN</t>
        </is>
      </c>
      <c r="Q59" s="3" t="n">
        <v>3</v>
      </c>
      <c r="R59" s="3" t="n"/>
    </row>
    <row r="60" ht="40" customHeight="1">
      <c r="A60" s="6" t="inlineStr">
        <is>
          <t>P1-S4-STEP-003</t>
        </is>
      </c>
      <c r="B60" s="6" t="n">
        <v>1</v>
      </c>
      <c r="C60" s="6" t="inlineStr">
        <is>
          <t>1.4 Stigmatisation &amp; Intimidation</t>
        </is>
      </c>
      <c r="D60" s="6" t="inlineStr">
        <is>
          <t>stigmatisation</t>
        </is>
      </c>
      <c r="E60" s="6" t="inlineStr">
        <is>
          <t>first-hour</t>
        </is>
      </c>
      <c r="F60" s="7" t="inlineStr">
        <is>
          <t>STEP</t>
        </is>
      </c>
      <c r="G60" s="6" t="n">
        <v>1</v>
      </c>
      <c r="H60" s="6" t="inlineStr">
        <is>
          <t>Lorem ipsum dolor sit amet consectetur adipiscing elit sed do eiusmod tempor incididunt ut labore et dolore magna</t>
        </is>
      </c>
      <c r="I60" s="6" t="n">
        <v>25</v>
      </c>
      <c r="J60" s="102">
        <f>IF(TRIM(H60)="",0,LEN(TRIM(H60))-LEN(SUBSTITUTE(TRIM(H60)," ",""))+1)</f>
        <v/>
      </c>
      <c r="K60" s="103">
        <f>IF(J60&gt;I60,"OVER ↑","✓")</f>
        <v/>
      </c>
      <c r="L60" s="6" t="inlineStr">
        <is>
          <t>STABLE</t>
        </is>
      </c>
      <c r="M60" s="6" t="inlineStr">
        <is>
          <t>2026-02-17</t>
        </is>
      </c>
      <c r="N60" s="6" t="inlineStr">
        <is>
          <t>J.Cranshaw</t>
        </is>
      </c>
      <c r="O60" s="6" t="inlineStr">
        <is>
          <t>2028-02-17</t>
        </is>
      </c>
      <c r="P60" s="6" t="inlineStr">
        <is>
          <t>EN</t>
        </is>
      </c>
      <c r="Q60" s="6" t="n">
        <v>4</v>
      </c>
      <c r="R60" s="6" t="n"/>
    </row>
    <row r="61" ht="40" customHeight="1">
      <c r="A61" s="3" t="inlineStr">
        <is>
          <t>P1-S4-WARNING-001</t>
        </is>
      </c>
      <c r="B61" s="3" t="n">
        <v>1</v>
      </c>
      <c r="C61" s="3" t="inlineStr">
        <is>
          <t>1.4 Stigmatisation &amp; Intimidation</t>
        </is>
      </c>
      <c r="D61" s="3" t="inlineStr">
        <is>
          <t>stigmatisation</t>
        </is>
      </c>
      <c r="E61" s="3" t="inlineStr">
        <is>
          <t>first-hour</t>
        </is>
      </c>
      <c r="F61" s="10" t="inlineStr">
        <is>
          <t>WARNING</t>
        </is>
      </c>
      <c r="G61" s="3" t="n">
        <v>1</v>
      </c>
      <c r="H61" s="3" t="inlineStr">
        <is>
          <t>Lorem ipsum dolor sit amet consectetur adipiscing elit sed do eiusmod tempor incididunt ut labore et dolore magna aliqua ut enim ad minim veniam quis nostrud</t>
        </is>
      </c>
      <c r="I61" s="3" t="n">
        <v>35</v>
      </c>
      <c r="J61" s="104">
        <f>IF(TRIM(H61)="",0,LEN(TRIM(H61))-LEN(SUBSTITUTE(TRIM(H61)," ",""))+1)</f>
        <v/>
      </c>
      <c r="K61" s="103">
        <f>IF(J61&gt;I61,"OVER ↑","✓")</f>
        <v/>
      </c>
      <c r="L61" s="3" t="inlineStr">
        <is>
          <t>STABLE</t>
        </is>
      </c>
      <c r="M61" s="3" t="inlineStr">
        <is>
          <t>2026-02-17</t>
        </is>
      </c>
      <c r="N61" s="3" t="inlineStr">
        <is>
          <t>J.Cranshaw</t>
        </is>
      </c>
      <c r="O61" s="3" t="inlineStr">
        <is>
          <t>2028-02-17</t>
        </is>
      </c>
      <c r="P61" s="3" t="inlineStr">
        <is>
          <t>EN</t>
        </is>
      </c>
      <c r="Q61" s="3" t="n">
        <v>5</v>
      </c>
      <c r="R61" s="3" t="n"/>
    </row>
    <row r="62" ht="40" customHeight="1">
      <c r="A62" s="6" t="inlineStr">
        <is>
          <t>P1-S4-STEP-004</t>
        </is>
      </c>
      <c r="B62" s="6" t="n">
        <v>1</v>
      </c>
      <c r="C62" s="6" t="inlineStr">
        <is>
          <t>1.4 Stigmatisation &amp; Intimidation</t>
        </is>
      </c>
      <c r="D62" s="6" t="inlineStr">
        <is>
          <t>stigmatisation</t>
        </is>
      </c>
      <c r="E62" s="6" t="inlineStr">
        <is>
          <t>first-24hrs</t>
        </is>
      </c>
      <c r="F62" s="7" t="inlineStr">
        <is>
          <t>STEP</t>
        </is>
      </c>
      <c r="G62" s="6" t="n">
        <v>1</v>
      </c>
      <c r="H62" s="6" t="inlineStr">
        <is>
          <t>Lorem ipsum dolor sit amet consectetur adipiscing elit sed do eiusmod tempor incididunt ut labore et dolore magna</t>
        </is>
      </c>
      <c r="I62" s="6" t="n">
        <v>25</v>
      </c>
      <c r="J62" s="102">
        <f>IF(TRIM(H62)="",0,LEN(TRIM(H62))-LEN(SUBSTITUTE(TRIM(H62)," ",""))+1)</f>
        <v/>
      </c>
      <c r="K62" s="103">
        <f>IF(J62&gt;I62,"OVER ↑","✓")</f>
        <v/>
      </c>
      <c r="L62" s="6" t="inlineStr">
        <is>
          <t>STABLE</t>
        </is>
      </c>
      <c r="M62" s="6" t="inlineStr">
        <is>
          <t>2026-02-17</t>
        </is>
      </c>
      <c r="N62" s="6" t="inlineStr">
        <is>
          <t>J.Cranshaw</t>
        </is>
      </c>
      <c r="O62" s="6" t="inlineStr">
        <is>
          <t>2028-02-17</t>
        </is>
      </c>
      <c r="P62" s="6" t="inlineStr">
        <is>
          <t>EN</t>
        </is>
      </c>
      <c r="Q62" s="6" t="n">
        <v>6</v>
      </c>
      <c r="R62" s="6" t="n"/>
    </row>
    <row r="63" ht="40" customHeight="1">
      <c r="A63" s="3" t="inlineStr">
        <is>
          <t>P1-S4-STEP-005</t>
        </is>
      </c>
      <c r="B63" s="3" t="n">
        <v>1</v>
      </c>
      <c r="C63" s="3" t="inlineStr">
        <is>
          <t>1.4 Stigmatisation &amp; Intimidation</t>
        </is>
      </c>
      <c r="D63" s="3" t="inlineStr">
        <is>
          <t>stigmatisation</t>
        </is>
      </c>
      <c r="E63" s="3" t="inlineStr">
        <is>
          <t>first-24hrs</t>
        </is>
      </c>
      <c r="F63" s="7" t="inlineStr">
        <is>
          <t>STEP</t>
        </is>
      </c>
      <c r="G63" s="3" t="n">
        <v>1</v>
      </c>
      <c r="H63" s="3" t="inlineStr">
        <is>
          <t>Lorem ipsum dolor sit amet consectetur adipiscing elit sed do eiusmod tempor incididunt ut labore et dolore magna</t>
        </is>
      </c>
      <c r="I63" s="3" t="n">
        <v>25</v>
      </c>
      <c r="J63" s="104">
        <f>IF(TRIM(H63)="",0,LEN(TRIM(H63))-LEN(SUBSTITUTE(TRIM(H63)," ",""))+1)</f>
        <v/>
      </c>
      <c r="K63" s="103">
        <f>IF(J63&gt;I63,"OVER ↑","✓")</f>
        <v/>
      </c>
      <c r="L63" s="3" t="inlineStr">
        <is>
          <t>STABLE</t>
        </is>
      </c>
      <c r="M63" s="3" t="inlineStr">
        <is>
          <t>2026-02-17</t>
        </is>
      </c>
      <c r="N63" s="3" t="inlineStr">
        <is>
          <t>J.Cranshaw</t>
        </is>
      </c>
      <c r="O63" s="3" t="inlineStr">
        <is>
          <t>2028-02-17</t>
        </is>
      </c>
      <c r="P63" s="3" t="inlineStr">
        <is>
          <t>EN</t>
        </is>
      </c>
      <c r="Q63" s="3" t="n">
        <v>7</v>
      </c>
      <c r="R63" s="3" t="n"/>
    </row>
    <row r="64" ht="40" customHeight="1">
      <c r="A64" s="6" t="inlineStr">
        <is>
          <t>P1-S4-TIP-001</t>
        </is>
      </c>
      <c r="B64" s="6" t="n">
        <v>1</v>
      </c>
      <c r="C64" s="6" t="inlineStr">
        <is>
          <t>1.4 Stigmatisation &amp; Intimidation</t>
        </is>
      </c>
      <c r="D64" s="6" t="inlineStr">
        <is>
          <t>stigmatisation</t>
        </is>
      </c>
      <c r="E64" s="6" t="inlineStr">
        <is>
          <t>first-24hrs</t>
        </is>
      </c>
      <c r="F64" s="9" t="inlineStr">
        <is>
          <t>TIP</t>
        </is>
      </c>
      <c r="G64" s="6" t="n">
        <v>1</v>
      </c>
      <c r="H64" s="6" t="inlineStr">
        <is>
          <t>Lorem ipsum dolor sit amet consectetur adipiscing elit sed do eiusmod tempor incididunt ut labore et dolore magna aliqua ut enim ad minim veniam quis nostrud</t>
        </is>
      </c>
      <c r="I64" s="6" t="n">
        <v>35</v>
      </c>
      <c r="J64" s="102">
        <f>IF(TRIM(H64)="",0,LEN(TRIM(H64))-LEN(SUBSTITUTE(TRIM(H64)," ",""))+1)</f>
        <v/>
      </c>
      <c r="K64" s="103">
        <f>IF(J64&gt;I64,"OVER ↑","✓")</f>
        <v/>
      </c>
      <c r="L64" s="6" t="inlineStr">
        <is>
          <t>STABLE</t>
        </is>
      </c>
      <c r="M64" s="6" t="inlineStr">
        <is>
          <t>2026-02-17</t>
        </is>
      </c>
      <c r="N64" s="6" t="inlineStr">
        <is>
          <t>J.Cranshaw</t>
        </is>
      </c>
      <c r="O64" s="6" t="inlineStr">
        <is>
          <t>2028-02-17</t>
        </is>
      </c>
      <c r="P64" s="6" t="inlineStr">
        <is>
          <t>EN</t>
        </is>
      </c>
      <c r="Q64" s="6" t="n">
        <v>8</v>
      </c>
      <c r="R64" s="6" t="n"/>
    </row>
    <row r="65" ht="40" customHeight="1">
      <c r="A65" s="3" t="inlineStr">
        <is>
          <t>P1-S4-STEP-006</t>
        </is>
      </c>
      <c r="B65" s="3" t="n">
        <v>1</v>
      </c>
      <c r="C65" s="3" t="inlineStr">
        <is>
          <t>1.4 Stigmatisation &amp; Intimidation</t>
        </is>
      </c>
      <c r="D65" s="3" t="inlineStr">
        <is>
          <t>stigmatisation</t>
        </is>
      </c>
      <c r="E65" s="3" t="inlineStr">
        <is>
          <t>first-72hrs</t>
        </is>
      </c>
      <c r="F65" s="7" t="inlineStr">
        <is>
          <t>STEP</t>
        </is>
      </c>
      <c r="G65" s="3" t="n">
        <v>1</v>
      </c>
      <c r="H65" s="3" t="inlineStr">
        <is>
          <t>Lorem ipsum dolor sit amet consectetur adipiscing elit sed do eiusmod tempor incididunt ut labore et dolore magna</t>
        </is>
      </c>
      <c r="I65" s="3" t="n">
        <v>25</v>
      </c>
      <c r="J65" s="104">
        <f>IF(TRIM(H65)="",0,LEN(TRIM(H65))-LEN(SUBSTITUTE(TRIM(H65)," ",""))+1)</f>
        <v/>
      </c>
      <c r="K65" s="103">
        <f>IF(J65&gt;I65,"OVER ↑","✓")</f>
        <v/>
      </c>
      <c r="L65" s="3" t="inlineStr">
        <is>
          <t>STABLE</t>
        </is>
      </c>
      <c r="M65" s="3" t="inlineStr">
        <is>
          <t>2026-02-17</t>
        </is>
      </c>
      <c r="N65" s="3" t="inlineStr">
        <is>
          <t>J.Cranshaw</t>
        </is>
      </c>
      <c r="O65" s="3" t="inlineStr">
        <is>
          <t>2028-02-17</t>
        </is>
      </c>
      <c r="P65" s="3" t="inlineStr">
        <is>
          <t>EN</t>
        </is>
      </c>
      <c r="Q65" s="3" t="n">
        <v>9</v>
      </c>
      <c r="R65" s="3" t="n"/>
    </row>
    <row r="66" ht="40" customHeight="1">
      <c r="A66" s="6" t="inlineStr">
        <is>
          <t>P2-SUB-PRE</t>
        </is>
      </c>
      <c r="B66" s="6" t="n">
        <v>2</v>
      </c>
      <c r="C66" s="6" t="inlineStr">
        <is>
          <t>2. Solidarity Activation</t>
        </is>
      </c>
      <c r="D66" s="6" t="inlineStr">
        <is>
          <t>solidarity</t>
        </is>
      </c>
      <c r="E66" s="6" t="inlineStr">
        <is>
          <t>preemptive</t>
        </is>
      </c>
      <c r="F66" s="45" t="inlineStr">
        <is>
          <t>SUBSECTION</t>
        </is>
      </c>
      <c r="G66" s="6" t="n">
        <v>1</v>
      </c>
      <c r="H66" s="6" t="inlineStr">
        <is>
          <t>Lorem ipsum dolor sit amet consectetur adipiscing elit sed</t>
        </is>
      </c>
      <c r="I66" s="6" t="n">
        <v>12</v>
      </c>
      <c r="J66" s="102">
        <f>IF(TRIM(H66)="",0,LEN(TRIM(H66))-LEN(SUBSTITUTE(TRIM(H66)," ",""))+1)</f>
        <v/>
      </c>
      <c r="K66" s="103">
        <f>IF(J66&gt;I66,"OVER ↑","✓")</f>
        <v/>
      </c>
      <c r="L66" s="6" t="inlineStr">
        <is>
          <t>STABLE</t>
        </is>
      </c>
      <c r="M66" s="6" t="inlineStr">
        <is>
          <t>2026-02-17</t>
        </is>
      </c>
      <c r="N66" s="6" t="inlineStr">
        <is>
          <t>J.Cranshaw</t>
        </is>
      </c>
      <c r="O66" s="6" t="inlineStr">
        <is>
          <t>2028-02-17</t>
        </is>
      </c>
      <c r="P66" s="6" t="inlineStr">
        <is>
          <t>EN</t>
        </is>
      </c>
      <c r="Q66" s="6" t="n">
        <v>0</v>
      </c>
      <c r="R66" s="6" t="n"/>
    </row>
    <row r="67" ht="40" customHeight="1">
      <c r="A67" s="3" t="inlineStr">
        <is>
          <t>P2-PRE-001</t>
        </is>
      </c>
      <c r="B67" s="3" t="n">
        <v>2</v>
      </c>
      <c r="C67" s="3" t="inlineStr">
        <is>
          <t>2. Solidarity Activation</t>
        </is>
      </c>
      <c r="D67" s="3" t="inlineStr">
        <is>
          <t>solidarity</t>
        </is>
      </c>
      <c r="E67" s="3" t="inlineStr">
        <is>
          <t>preemptive</t>
        </is>
      </c>
      <c r="F67" s="7" t="inlineStr">
        <is>
          <t>STEP</t>
        </is>
      </c>
      <c r="G67" s="3" t="n">
        <v>1</v>
      </c>
      <c r="H67" s="3" t="inlineStr">
        <is>
          <t>Lorem ipsum dolor sit amet consectetur adipiscing elit sed do eiusmod tempor incididunt ut labore et dolore magna</t>
        </is>
      </c>
      <c r="I67" s="3" t="n">
        <v>25</v>
      </c>
      <c r="J67" s="104">
        <f>IF(TRIM(H67)="",0,LEN(TRIM(H67))-LEN(SUBSTITUTE(TRIM(H67)," ",""))+1)</f>
        <v/>
      </c>
      <c r="K67" s="103">
        <f>IF(J67&gt;I67,"OVER ↑","✓")</f>
        <v/>
      </c>
      <c r="L67" s="3" t="inlineStr">
        <is>
          <t>STABLE</t>
        </is>
      </c>
      <c r="M67" s="3" t="inlineStr">
        <is>
          <t>2026-02-17</t>
        </is>
      </c>
      <c r="N67" s="3" t="inlineStr">
        <is>
          <t>J.Cranshaw</t>
        </is>
      </c>
      <c r="O67" s="3" t="inlineStr">
        <is>
          <t>2028-02-17</t>
        </is>
      </c>
      <c r="P67" s="3" t="inlineStr">
        <is>
          <t>EN</t>
        </is>
      </c>
      <c r="Q67" s="3" t="n">
        <v>1</v>
      </c>
      <c r="R67" s="3" t="n"/>
    </row>
    <row r="68" ht="40" customHeight="1">
      <c r="A68" s="6" t="inlineStr">
        <is>
          <t>P2-PRE-002</t>
        </is>
      </c>
      <c r="B68" s="6" t="n">
        <v>2</v>
      </c>
      <c r="C68" s="6" t="inlineStr">
        <is>
          <t>2. Solidarity Activation</t>
        </is>
      </c>
      <c r="D68" s="6" t="inlineStr">
        <is>
          <t>solidarity</t>
        </is>
      </c>
      <c r="E68" s="6" t="inlineStr">
        <is>
          <t>preemptive</t>
        </is>
      </c>
      <c r="F68" s="7" t="inlineStr">
        <is>
          <t>STEP</t>
        </is>
      </c>
      <c r="G68" s="6" t="n">
        <v>1</v>
      </c>
      <c r="H68" s="6" t="inlineStr">
        <is>
          <t>Lorem ipsum dolor sit amet consectetur adipiscing elit sed do eiusmod tempor incididunt ut labore et dolore magna</t>
        </is>
      </c>
      <c r="I68" s="6" t="n">
        <v>25</v>
      </c>
      <c r="J68" s="102">
        <f>IF(TRIM(H68)="",0,LEN(TRIM(H68))-LEN(SUBSTITUTE(TRIM(H68)," ",""))+1)</f>
        <v/>
      </c>
      <c r="K68" s="103">
        <f>IF(J68&gt;I68,"OVER ↑","✓")</f>
        <v/>
      </c>
      <c r="L68" s="6" t="inlineStr">
        <is>
          <t>STABLE</t>
        </is>
      </c>
      <c r="M68" s="6" t="inlineStr">
        <is>
          <t>2026-02-17</t>
        </is>
      </c>
      <c r="N68" s="6" t="inlineStr">
        <is>
          <t>J.Cranshaw</t>
        </is>
      </c>
      <c r="O68" s="6" t="inlineStr">
        <is>
          <t>2028-02-17</t>
        </is>
      </c>
      <c r="P68" s="6" t="inlineStr">
        <is>
          <t>EN</t>
        </is>
      </c>
      <c r="Q68" s="6" t="n">
        <v>2</v>
      </c>
      <c r="R68" s="6" t="n"/>
    </row>
    <row r="69" ht="40" customHeight="1">
      <c r="A69" s="3" t="inlineStr">
        <is>
          <t>P2-PRE-003</t>
        </is>
      </c>
      <c r="B69" s="3" t="n">
        <v>2</v>
      </c>
      <c r="C69" s="3" t="inlineStr">
        <is>
          <t>2. Solidarity Activation</t>
        </is>
      </c>
      <c r="D69" s="3" t="inlineStr">
        <is>
          <t>solidarity</t>
        </is>
      </c>
      <c r="E69" s="3" t="inlineStr">
        <is>
          <t>preemptive</t>
        </is>
      </c>
      <c r="F69" s="7" t="inlineStr">
        <is>
          <t>STEP</t>
        </is>
      </c>
      <c r="G69" s="3" t="n">
        <v>1</v>
      </c>
      <c r="H69" s="3" t="inlineStr">
        <is>
          <t>Lorem ipsum dolor sit amet consectetur adipiscing elit sed do eiusmod tempor incididunt ut labore et dolore magna</t>
        </is>
      </c>
      <c r="I69" s="3" t="n">
        <v>25</v>
      </c>
      <c r="J69" s="104">
        <f>IF(TRIM(H69)="",0,LEN(TRIM(H69))-LEN(SUBSTITUTE(TRIM(H69)," ",""))+1)</f>
        <v/>
      </c>
      <c r="K69" s="103">
        <f>IF(J69&gt;I69,"OVER ↑","✓")</f>
        <v/>
      </c>
      <c r="L69" s="3" t="inlineStr">
        <is>
          <t>STABLE</t>
        </is>
      </c>
      <c r="M69" s="3" t="inlineStr">
        <is>
          <t>2026-02-17</t>
        </is>
      </c>
      <c r="N69" s="3" t="inlineStr">
        <is>
          <t>J.Cranshaw</t>
        </is>
      </c>
      <c r="O69" s="3" t="inlineStr">
        <is>
          <t>2028-02-17</t>
        </is>
      </c>
      <c r="P69" s="3" t="inlineStr">
        <is>
          <t>EN</t>
        </is>
      </c>
      <c r="Q69" s="3" t="n">
        <v>3</v>
      </c>
      <c r="R69" s="3" t="n"/>
    </row>
    <row r="70" ht="40" customHeight="1">
      <c r="A70" s="3" t="inlineStr">
        <is>
          <t>P2-INTRO-001</t>
        </is>
      </c>
      <c r="B70" s="3" t="n">
        <v>2</v>
      </c>
      <c r="C70" s="3" t="inlineStr">
        <is>
          <t>2. Solidarity Activation</t>
        </is>
      </c>
      <c r="D70" s="3" t="inlineStr">
        <is>
          <t>solidarity</t>
        </is>
      </c>
      <c r="E70" s="3" t="inlineStr">
        <is>
          <t>general</t>
        </is>
      </c>
      <c r="F70" s="4" t="inlineStr">
        <is>
          <t>INTRO</t>
        </is>
      </c>
      <c r="G70" s="3" t="n">
        <v>1</v>
      </c>
      <c r="H70" s="3"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t>
        </is>
      </c>
      <c r="I70" s="3" t="n">
        <v>60</v>
      </c>
      <c r="J70" s="104">
        <f>IF(TRIM(H70)="",0,LEN(TRIM(H70))-LEN(SUBSTITUTE(TRIM(H70)," ",""))+1)</f>
        <v/>
      </c>
      <c r="K70" s="105">
        <f>IF(J70&gt;I70,"OVER ↑","✓")</f>
        <v/>
      </c>
      <c r="L70" s="3" t="inlineStr">
        <is>
          <t>STABLE</t>
        </is>
      </c>
      <c r="M70" s="3" t="inlineStr">
        <is>
          <t>2026-02-17</t>
        </is>
      </c>
      <c r="N70" s="3" t="inlineStr">
        <is>
          <t>J.Cranshaw</t>
        </is>
      </c>
      <c r="O70" s="3" t="inlineStr">
        <is>
          <t>2028-02-17</t>
        </is>
      </c>
      <c r="P70" s="3" t="inlineStr">
        <is>
          <t>EN</t>
        </is>
      </c>
      <c r="Q70" s="3" t="n">
        <v>1</v>
      </c>
      <c r="R70" s="3" t="n"/>
    </row>
    <row r="71" ht="40" customHeight="1">
      <c r="A71" s="6" t="inlineStr">
        <is>
          <t>P2-TEMPLATE-001</t>
        </is>
      </c>
      <c r="B71" s="6" t="n">
        <v>2</v>
      </c>
      <c r="C71" s="6" t="inlineStr">
        <is>
          <t>2. Solidarity Activation</t>
        </is>
      </c>
      <c r="D71" s="6" t="inlineStr">
        <is>
          <t>solidarity</t>
        </is>
      </c>
      <c r="E71" s="6" t="inlineStr">
        <is>
          <t>general</t>
        </is>
      </c>
      <c r="F71" s="15" t="inlineStr">
        <is>
          <t>TEMPLATE</t>
        </is>
      </c>
      <c r="G71" s="6" t="n">
        <v>2</v>
      </c>
      <c r="H71" s="6"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sed perspiciatis unde omnis iste natus error sit voluptatem accusantium doloremque laudantium totam rem aperiam eaque ipsa quae ab illo inventore</t>
        </is>
      </c>
      <c r="I71" s="6" t="n">
        <v>120</v>
      </c>
      <c r="J71" s="102">
        <f>IF(TRIM(H71)="",0,LEN(TRIM(H71))-LEN(SUBSTITUTE(TRIM(H71)," ",""))+1)</f>
        <v/>
      </c>
      <c r="K71" s="105">
        <f>IF(J71&gt;I71,"OVER ↑","✓")</f>
        <v/>
      </c>
      <c r="L71" s="6" t="inlineStr">
        <is>
          <t>STABLE</t>
        </is>
      </c>
      <c r="M71" s="6" t="inlineStr">
        <is>
          <t>2026-02-17</t>
        </is>
      </c>
      <c r="N71" s="6" t="inlineStr">
        <is>
          <t>J.Cranshaw</t>
        </is>
      </c>
      <c r="O71" s="6" t="inlineStr">
        <is>
          <t>2028-02-17</t>
        </is>
      </c>
      <c r="P71" s="6" t="inlineStr">
        <is>
          <t>EN</t>
        </is>
      </c>
      <c r="Q71" s="6" t="n">
        <v>2</v>
      </c>
      <c r="R71" s="6" t="inlineStr">
        <is>
          <t>Level 2 — network only. Keep template short so it gets used.</t>
        </is>
      </c>
    </row>
    <row r="72" ht="40" customHeight="1">
      <c r="A72" s="3" t="inlineStr">
        <is>
          <t>P2-TIP-001</t>
        </is>
      </c>
      <c r="B72" s="3" t="n">
        <v>2</v>
      </c>
      <c r="C72" s="3" t="inlineStr">
        <is>
          <t>2. Solidarity Activation</t>
        </is>
      </c>
      <c r="D72" s="3" t="inlineStr">
        <is>
          <t>solidarity</t>
        </is>
      </c>
      <c r="E72" s="3" t="inlineStr">
        <is>
          <t>general</t>
        </is>
      </c>
      <c r="F72" s="9" t="inlineStr">
        <is>
          <t>TIP</t>
        </is>
      </c>
      <c r="G72" s="3" t="n">
        <v>1</v>
      </c>
      <c r="H72" s="3" t="inlineStr">
        <is>
          <t>Lorem ipsum dolor sit amet consectetur adipiscing elit sed do eiusmod tempor incididunt ut labore et dolore magna aliqua ut enim ad minim veniam quis nostrud</t>
        </is>
      </c>
      <c r="I72" s="3" t="n">
        <v>35</v>
      </c>
      <c r="J72" s="104">
        <f>IF(TRIM(H72)="",0,LEN(TRIM(H72))-LEN(SUBSTITUTE(TRIM(H72)," ",""))+1)</f>
        <v/>
      </c>
      <c r="K72" s="105">
        <f>IF(J72&gt;I72,"OVER ↑","✓")</f>
        <v/>
      </c>
      <c r="L72" s="3" t="inlineStr">
        <is>
          <t>STABLE</t>
        </is>
      </c>
      <c r="M72" s="3" t="inlineStr">
        <is>
          <t>2026-02-17</t>
        </is>
      </c>
      <c r="N72" s="3" t="inlineStr">
        <is>
          <t>J.Cranshaw</t>
        </is>
      </c>
      <c r="O72" s="3" t="inlineStr">
        <is>
          <t>2028-02-17</t>
        </is>
      </c>
      <c r="P72" s="3" t="inlineStr">
        <is>
          <t>EN</t>
        </is>
      </c>
      <c r="Q72" s="3" t="n">
        <v>3</v>
      </c>
      <c r="R72" s="3" t="n"/>
    </row>
    <row r="73" ht="40" customHeight="1">
      <c r="A73" s="6" t="inlineStr">
        <is>
          <t>P2-CHECKLIST-001</t>
        </is>
      </c>
      <c r="B73" s="6" t="n">
        <v>2</v>
      </c>
      <c r="C73" s="6" t="inlineStr">
        <is>
          <t>2. Solidarity Activation</t>
        </is>
      </c>
      <c r="D73" s="6" t="inlineStr">
        <is>
          <t>solidarity</t>
        </is>
      </c>
      <c r="E73" s="6" t="inlineStr">
        <is>
          <t>general</t>
        </is>
      </c>
      <c r="F73" s="16" t="inlineStr">
        <is>
          <t>CHECKLIST</t>
        </is>
      </c>
      <c r="G73" s="6" t="n">
        <v>1</v>
      </c>
      <c r="H73" s="6" t="inlineStr">
        <is>
          <t>Lorem ipsum dolor sit amet consectetur adipiscing elit sed do eiusmod tempor incididunt ut labore</t>
        </is>
      </c>
      <c r="I73" s="6" t="n">
        <v>20</v>
      </c>
      <c r="J73" s="102">
        <f>IF(TRIM(H73)="",0,LEN(TRIM(H73))-LEN(SUBSTITUTE(TRIM(H73)," ",""))+1)</f>
        <v/>
      </c>
      <c r="K73" s="105">
        <f>IF(J73&gt;I73,"OVER ↑","✓")</f>
        <v/>
      </c>
      <c r="L73" s="6" t="inlineStr">
        <is>
          <t>STABLE</t>
        </is>
      </c>
      <c r="M73" s="6" t="inlineStr">
        <is>
          <t>2026-02-17</t>
        </is>
      </c>
      <c r="N73" s="6" t="inlineStr">
        <is>
          <t>J.Cranshaw</t>
        </is>
      </c>
      <c r="O73" s="6" t="inlineStr">
        <is>
          <t>2028-02-17</t>
        </is>
      </c>
      <c r="P73" s="6" t="inlineStr">
        <is>
          <t>EN</t>
        </is>
      </c>
      <c r="Q73" s="6" t="n">
        <v>4</v>
      </c>
      <c r="R73" s="6" t="n"/>
    </row>
    <row r="74" ht="40" customHeight="1">
      <c r="A74" s="3" t="inlineStr">
        <is>
          <t>P2-CHECKLIST-002</t>
        </is>
      </c>
      <c r="B74" s="3" t="n">
        <v>2</v>
      </c>
      <c r="C74" s="3" t="inlineStr">
        <is>
          <t>2. Solidarity Activation</t>
        </is>
      </c>
      <c r="D74" s="3" t="inlineStr">
        <is>
          <t>solidarity</t>
        </is>
      </c>
      <c r="E74" s="3" t="inlineStr">
        <is>
          <t>general</t>
        </is>
      </c>
      <c r="F74" s="16" t="inlineStr">
        <is>
          <t>CHECKLIST</t>
        </is>
      </c>
      <c r="G74" s="3" t="n">
        <v>1</v>
      </c>
      <c r="H74" s="3" t="inlineStr">
        <is>
          <t>Lorem ipsum dolor sit amet consectetur adipiscing elit sed do eiusmod tempor incididunt ut labore</t>
        </is>
      </c>
      <c r="I74" s="3" t="n">
        <v>20</v>
      </c>
      <c r="J74" s="104">
        <f>IF(TRIM(H74)="",0,LEN(TRIM(H74))-LEN(SUBSTITUTE(TRIM(H74)," ",""))+1)</f>
        <v/>
      </c>
      <c r="K74" s="105">
        <f>IF(J74&gt;I74,"OVER ↑","✓")</f>
        <v/>
      </c>
      <c r="L74" s="3" t="inlineStr">
        <is>
          <t>STABLE</t>
        </is>
      </c>
      <c r="M74" s="3" t="inlineStr">
        <is>
          <t>2026-02-17</t>
        </is>
      </c>
      <c r="N74" s="3" t="inlineStr">
        <is>
          <t>J.Cranshaw</t>
        </is>
      </c>
      <c r="O74" s="3" t="inlineStr">
        <is>
          <t>2028-02-17</t>
        </is>
      </c>
      <c r="P74" s="3" t="inlineStr">
        <is>
          <t>EN</t>
        </is>
      </c>
      <c r="Q74" s="3" t="n">
        <v>5</v>
      </c>
      <c r="R74" s="3" t="n"/>
    </row>
    <row r="75" ht="40" customHeight="1">
      <c r="A75" s="6" t="inlineStr">
        <is>
          <t>P2-CHECKLIST-003</t>
        </is>
      </c>
      <c r="B75" s="6" t="n">
        <v>2</v>
      </c>
      <c r="C75" s="6" t="inlineStr">
        <is>
          <t>2. Solidarity Activation</t>
        </is>
      </c>
      <c r="D75" s="6" t="inlineStr">
        <is>
          <t>solidarity</t>
        </is>
      </c>
      <c r="E75" s="6" t="inlineStr">
        <is>
          <t>general</t>
        </is>
      </c>
      <c r="F75" s="16" t="inlineStr">
        <is>
          <t>CHECKLIST</t>
        </is>
      </c>
      <c r="G75" s="6" t="n">
        <v>1</v>
      </c>
      <c r="H75" s="6" t="inlineStr">
        <is>
          <t>Lorem ipsum dolor sit amet consectetur adipiscing elit sed do eiusmod tempor incididunt ut labore</t>
        </is>
      </c>
      <c r="I75" s="6" t="n">
        <v>20</v>
      </c>
      <c r="J75" s="102">
        <f>IF(TRIM(H75)="",0,LEN(TRIM(H75))-LEN(SUBSTITUTE(TRIM(H75)," ",""))+1)</f>
        <v/>
      </c>
      <c r="K75" s="105">
        <f>IF(J75&gt;I75,"OVER ↑","✓")</f>
        <v/>
      </c>
      <c r="L75" s="6" t="inlineStr">
        <is>
          <t>HIGH-CHURN</t>
        </is>
      </c>
      <c r="M75" s="6" t="inlineStr">
        <is>
          <t>2026-02-17</t>
        </is>
      </c>
      <c r="N75" s="6" t="inlineStr">
        <is>
          <t>J.Cranshaw</t>
        </is>
      </c>
      <c r="O75" s="6" t="inlineStr">
        <is>
          <t>2027-02-17</t>
        </is>
      </c>
      <c r="P75" s="6" t="inlineStr">
        <is>
          <t>EN</t>
        </is>
      </c>
      <c r="Q75" s="6" t="n">
        <v>6</v>
      </c>
      <c r="R75" s="6" t="inlineStr">
        <is>
          <t>Verify secure channel is still active annually</t>
        </is>
      </c>
    </row>
    <row r="76" ht="40" customHeight="1">
      <c r="A76" s="3" t="inlineStr">
        <is>
          <t>P2-STEP-001</t>
        </is>
      </c>
      <c r="B76" s="3" t="n">
        <v>2</v>
      </c>
      <c r="C76" s="3" t="inlineStr">
        <is>
          <t>2. Solidarity Activation</t>
        </is>
      </c>
      <c r="D76" s="3" t="inlineStr">
        <is>
          <t>solidarity</t>
        </is>
      </c>
      <c r="E76" s="3" t="inlineStr">
        <is>
          <t>general</t>
        </is>
      </c>
      <c r="F76" s="7" t="inlineStr">
        <is>
          <t>STEP</t>
        </is>
      </c>
      <c r="G76" s="3" t="n">
        <v>1</v>
      </c>
      <c r="H76" s="3" t="inlineStr">
        <is>
          <t>Lorem ipsum dolor sit amet consectetur adipiscing elit sed do eiusmod tempor incididunt ut labore et dolore magna</t>
        </is>
      </c>
      <c r="I76" s="3" t="n">
        <v>25</v>
      </c>
      <c r="J76" s="104">
        <f>IF(TRIM(H76)="",0,LEN(TRIM(H76))-LEN(SUBSTITUTE(TRIM(H76)," ",""))+1)</f>
        <v/>
      </c>
      <c r="K76" s="103">
        <f>IF(J76&gt;I76,"OVER ↑","✓")</f>
        <v/>
      </c>
      <c r="L76" s="3" t="inlineStr">
        <is>
          <t>STABLE</t>
        </is>
      </c>
      <c r="M76" s="3" t="inlineStr">
        <is>
          <t>2026-02-17</t>
        </is>
      </c>
      <c r="N76" s="3" t="inlineStr">
        <is>
          <t>J.Cranshaw</t>
        </is>
      </c>
      <c r="O76" s="3" t="inlineStr">
        <is>
          <t>2028-02-17</t>
        </is>
      </c>
      <c r="P76" s="3" t="inlineStr">
        <is>
          <t>EN</t>
        </is>
      </c>
      <c r="Q76" s="3" t="n">
        <v>7</v>
      </c>
      <c r="R76" s="3" t="n"/>
    </row>
    <row r="77" ht="40" customHeight="1">
      <c r="A77" s="6" t="inlineStr">
        <is>
          <t>P2-STEP-002</t>
        </is>
      </c>
      <c r="B77" s="6" t="n">
        <v>2</v>
      </c>
      <c r="C77" s="6" t="inlineStr">
        <is>
          <t>2. Solidarity Activation</t>
        </is>
      </c>
      <c r="D77" s="6" t="inlineStr">
        <is>
          <t>solidarity</t>
        </is>
      </c>
      <c r="E77" s="6" t="inlineStr">
        <is>
          <t>general</t>
        </is>
      </c>
      <c r="F77" s="7" t="inlineStr">
        <is>
          <t>STEP</t>
        </is>
      </c>
      <c r="G77" s="6" t="n">
        <v>1</v>
      </c>
      <c r="H77" s="6" t="inlineStr">
        <is>
          <t>Lorem ipsum dolor sit amet consectetur adipiscing elit sed do eiusmod tempor incididunt ut labore et dolore magna</t>
        </is>
      </c>
      <c r="I77" s="6" t="n">
        <v>25</v>
      </c>
      <c r="J77" s="102">
        <f>IF(TRIM(H77)="",0,LEN(TRIM(H77))-LEN(SUBSTITUTE(TRIM(H77)," ",""))+1)</f>
        <v/>
      </c>
      <c r="K77" s="103">
        <f>IF(J77&gt;I77,"OVER ↑","✓")</f>
        <v/>
      </c>
      <c r="L77" s="6" t="inlineStr">
        <is>
          <t>STABLE</t>
        </is>
      </c>
      <c r="M77" s="6" t="inlineStr">
        <is>
          <t>2026-02-17</t>
        </is>
      </c>
      <c r="N77" s="6" t="inlineStr">
        <is>
          <t>J.Cranshaw</t>
        </is>
      </c>
      <c r="O77" s="6" t="inlineStr">
        <is>
          <t>2028-02-17</t>
        </is>
      </c>
      <c r="P77" s="6" t="inlineStr">
        <is>
          <t>EN</t>
        </is>
      </c>
      <c r="Q77" s="6" t="n">
        <v>8</v>
      </c>
      <c r="R77" s="6" t="n"/>
    </row>
    <row r="78" ht="40" customHeight="1">
      <c r="A78" s="3" t="inlineStr">
        <is>
          <t>P2-STEP-003</t>
        </is>
      </c>
      <c r="B78" s="3" t="n">
        <v>2</v>
      </c>
      <c r="C78" s="3" t="inlineStr">
        <is>
          <t>2. Solidarity Activation</t>
        </is>
      </c>
      <c r="D78" s="3" t="inlineStr">
        <is>
          <t>solidarity</t>
        </is>
      </c>
      <c r="E78" s="3" t="inlineStr">
        <is>
          <t>general</t>
        </is>
      </c>
      <c r="F78" s="7" t="inlineStr">
        <is>
          <t>STEP</t>
        </is>
      </c>
      <c r="G78" s="3" t="n">
        <v>1</v>
      </c>
      <c r="H78" s="3" t="inlineStr">
        <is>
          <t>Lorem ipsum dolor sit amet consectetur adipiscing elit sed do eiusmod tempor incididunt ut labore et dolore magna</t>
        </is>
      </c>
      <c r="I78" s="3" t="n">
        <v>25</v>
      </c>
      <c r="J78" s="104">
        <f>IF(TRIM(H78)="",0,LEN(TRIM(H78))-LEN(SUBSTITUTE(TRIM(H78)," ",""))+1)</f>
        <v/>
      </c>
      <c r="K78" s="103">
        <f>IF(J78&gt;I78,"OVER ↑","✓")</f>
        <v/>
      </c>
      <c r="L78" s="3" t="inlineStr">
        <is>
          <t>STABLE</t>
        </is>
      </c>
      <c r="M78" s="3" t="inlineStr">
        <is>
          <t>2026-02-17</t>
        </is>
      </c>
      <c r="N78" s="3" t="inlineStr">
        <is>
          <t>J.Cranshaw</t>
        </is>
      </c>
      <c r="O78" s="3" t="inlineStr">
        <is>
          <t>2028-02-17</t>
        </is>
      </c>
      <c r="P78" s="3" t="inlineStr">
        <is>
          <t>EN</t>
        </is>
      </c>
      <c r="Q78" s="3" t="n">
        <v>9</v>
      </c>
      <c r="R78" s="3" t="n"/>
    </row>
    <row r="79" ht="40" customHeight="1">
      <c r="A79" s="6" t="inlineStr">
        <is>
          <t>P2-WARNING-001</t>
        </is>
      </c>
      <c r="B79" s="6" t="n">
        <v>2</v>
      </c>
      <c r="C79" s="6" t="inlineStr">
        <is>
          <t>2. Solidarity Activation</t>
        </is>
      </c>
      <c r="D79" s="6" t="inlineStr">
        <is>
          <t>solidarity</t>
        </is>
      </c>
      <c r="E79" s="6" t="inlineStr">
        <is>
          <t>general</t>
        </is>
      </c>
      <c r="F79" s="10" t="inlineStr">
        <is>
          <t>WARNING</t>
        </is>
      </c>
      <c r="G79" s="6" t="n">
        <v>1</v>
      </c>
      <c r="H79" s="6" t="inlineStr">
        <is>
          <t>Lorem ipsum dolor sit amet consectetur adipiscing elit sed do eiusmod tempor incididunt ut labore et dolore magna aliqua ut enim ad minim veniam quis nostrud</t>
        </is>
      </c>
      <c r="I79" s="6" t="n">
        <v>35</v>
      </c>
      <c r="J79" s="102">
        <f>IF(TRIM(H79)="",0,LEN(TRIM(H79))-LEN(SUBSTITUTE(TRIM(H79)," ",""))+1)</f>
        <v/>
      </c>
      <c r="K79" s="103">
        <f>IF(J79&gt;I79,"OVER ↑","✓")</f>
        <v/>
      </c>
      <c r="L79" s="6" t="inlineStr">
        <is>
          <t>STABLE</t>
        </is>
      </c>
      <c r="M79" s="6" t="inlineStr">
        <is>
          <t>2026-02-17</t>
        </is>
      </c>
      <c r="N79" s="6" t="inlineStr">
        <is>
          <t>J.Cranshaw</t>
        </is>
      </c>
      <c r="O79" s="6" t="inlineStr">
        <is>
          <t>2028-02-17</t>
        </is>
      </c>
      <c r="P79" s="6" t="inlineStr">
        <is>
          <t>EN</t>
        </is>
      </c>
      <c r="Q79" s="6" t="n">
        <v>10</v>
      </c>
      <c r="R79" s="6" t="n"/>
    </row>
    <row r="80" ht="40" customHeight="1">
      <c r="A80" s="3" t="inlineStr">
        <is>
          <t>P2-CASE-001</t>
        </is>
      </c>
      <c r="B80" s="3" t="n">
        <v>2</v>
      </c>
      <c r="C80" s="3" t="inlineStr">
        <is>
          <t>2. Solidarity Activation</t>
        </is>
      </c>
      <c r="D80" s="3" t="inlineStr">
        <is>
          <t>solidarity</t>
        </is>
      </c>
      <c r="E80" s="3" t="inlineStr">
        <is>
          <t>general</t>
        </is>
      </c>
      <c r="F80" s="44" t="inlineStr">
        <is>
          <t>CASE</t>
        </is>
      </c>
      <c r="G80" s="3" t="n">
        <v>1</v>
      </c>
      <c r="H80" s="3"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t>
        </is>
      </c>
      <c r="I80" s="3" t="n">
        <v>80</v>
      </c>
      <c r="J80" s="104">
        <f>IF(TRIM(H80)="",0,LEN(TRIM(H80))-LEN(SUBSTITUTE(TRIM(H80)," ",""))+1)</f>
        <v/>
      </c>
      <c r="K80" s="103">
        <f>IF(J80&gt;I80,"OVER ↑","✓")</f>
        <v/>
      </c>
      <c r="L80" s="3" t="inlineStr">
        <is>
          <t>STABLE</t>
        </is>
      </c>
      <c r="M80" s="3" t="inlineStr">
        <is>
          <t>2026-02-17</t>
        </is>
      </c>
      <c r="N80" s="3" t="inlineStr">
        <is>
          <t>J.Cranshaw</t>
        </is>
      </c>
      <c r="O80" s="3" t="inlineStr">
        <is>
          <t>2028-02-17</t>
        </is>
      </c>
      <c r="P80" s="3" t="inlineStr">
        <is>
          <t>EN</t>
        </is>
      </c>
      <c r="Q80" s="3" t="n">
        <v>11</v>
      </c>
      <c r="R80" s="3" t="inlineStr">
        <is>
          <t>Sensitivity 1</t>
        </is>
      </c>
    </row>
    <row r="81" ht="40" customHeight="1">
      <c r="A81" s="6" t="inlineStr">
        <is>
          <t>P2-DBREF-001</t>
        </is>
      </c>
      <c r="B81" s="6" t="n">
        <v>2</v>
      </c>
      <c r="C81" s="6" t="inlineStr">
        <is>
          <t>2. Solidarity Activation</t>
        </is>
      </c>
      <c r="D81" s="6" t="inlineStr">
        <is>
          <t>solidarity</t>
        </is>
      </c>
      <c r="E81" s="6" t="inlineStr">
        <is>
          <t>general</t>
        </is>
      </c>
      <c r="F81" s="16" t="inlineStr">
        <is>
          <t>DB-REF</t>
        </is>
      </c>
      <c r="G81" s="6" t="n">
        <v>2</v>
      </c>
      <c r="H81" s="6" t="inlineStr">
        <is>
          <t>Lorem ipsum dolor sit amet consectetur adipiscing elit sed do eiusmod tempor incididunt ut labore et dolore magna aliqua ut enim ad minim veniam quis nostrud exercitation ullamco laboris nisi</t>
        </is>
      </c>
      <c r="I81" s="6" t="n">
        <v>40</v>
      </c>
      <c r="J81" s="102">
        <f>IF(TRIM(H81)="",0,LEN(TRIM(H81))-LEN(SUBSTITUTE(TRIM(H81)," ",""))+1)</f>
        <v/>
      </c>
      <c r="K81" s="103">
        <f>IF(J81&gt;I81,"OVER ↑","✓")</f>
        <v/>
      </c>
      <c r="L81" s="6" t="inlineStr">
        <is>
          <t>HIGH-CHURN</t>
        </is>
      </c>
      <c r="M81" s="6" t="inlineStr">
        <is>
          <t>2026-02-17</t>
        </is>
      </c>
      <c r="N81" s="6" t="inlineStr">
        <is>
          <t>J.Cranshaw</t>
        </is>
      </c>
      <c r="O81" s="6" t="inlineStr">
        <is>
          <t>2027-02-17</t>
        </is>
      </c>
      <c r="P81" s="6" t="inlineStr">
        <is>
          <t>EN</t>
        </is>
      </c>
      <c r="Q81" s="6" t="n">
        <v>12</v>
      </c>
      <c r="R81" s="6" t="inlineStr">
        <is>
          <t>Level 2 — network only</t>
        </is>
      </c>
    </row>
    <row r="82" ht="40" customHeight="1">
      <c r="A82" s="3" t="inlineStr">
        <is>
          <t>P3-INTRO-001</t>
        </is>
      </c>
      <c r="B82" s="3" t="n">
        <v>3</v>
      </c>
      <c r="C82" s="3" t="inlineStr">
        <is>
          <t>3. Legal Support Navigator</t>
        </is>
      </c>
      <c r="D82" s="3" t="inlineStr">
        <is>
          <t>legal</t>
        </is>
      </c>
      <c r="E82" s="3" t="inlineStr">
        <is>
          <t>general</t>
        </is>
      </c>
      <c r="F82" s="4" t="inlineStr">
        <is>
          <t>INTRO</t>
        </is>
      </c>
      <c r="G82" s="3" t="n">
        <v>1</v>
      </c>
      <c r="H82" s="3"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t>
        </is>
      </c>
      <c r="I82" s="3" t="n">
        <v>60</v>
      </c>
      <c r="J82" s="104">
        <f>IF(TRIM(H82)="",0,LEN(TRIM(H82))-LEN(SUBSTITUTE(TRIM(H82)," ",""))+1)</f>
        <v/>
      </c>
      <c r="K82" s="105">
        <f>IF(J82&gt;I82,"OVER ↑","✓")</f>
        <v/>
      </c>
      <c r="L82" s="3" t="inlineStr">
        <is>
          <t>HIGH-CHURN</t>
        </is>
      </c>
      <c r="M82" s="3" t="inlineStr">
        <is>
          <t>2026-02-17</t>
        </is>
      </c>
      <c r="N82" s="3" t="inlineStr">
        <is>
          <t>J.Cranshaw</t>
        </is>
      </c>
      <c r="O82" s="3" t="inlineStr">
        <is>
          <t>2027-02-17</t>
        </is>
      </c>
      <c r="P82" s="3" t="inlineStr">
        <is>
          <t>EN</t>
        </is>
      </c>
      <c r="Q82" s="3" t="n">
        <v>1</v>
      </c>
      <c r="R82" s="3" t="inlineStr">
        <is>
          <t>Critical framing — the platform vs CSO distinction is the core value-add</t>
        </is>
      </c>
    </row>
    <row r="83" ht="40" customHeight="1">
      <c r="A83" s="6" t="inlineStr">
        <is>
          <t>P3-MREF-001</t>
        </is>
      </c>
      <c r="B83" s="6" t="n">
        <v>3</v>
      </c>
      <c r="C83" s="6" t="inlineStr">
        <is>
          <t>3. Legal Support Navigator</t>
        </is>
      </c>
      <c r="D83" s="6" t="inlineStr">
        <is>
          <t>legal</t>
        </is>
      </c>
      <c r="E83" s="6" t="inlineStr">
        <is>
          <t>general</t>
        </is>
      </c>
      <c r="F83" s="11" t="inlineStr">
        <is>
          <t>MECHANISM-REF</t>
        </is>
      </c>
      <c r="G83" s="6" t="n">
        <v>2</v>
      </c>
      <c r="H83" s="6" t="inlineStr">
        <is>
          <t>→ ICNL Legal Support (see Mechanisms sheet: MECH-L-001)</t>
        </is>
      </c>
      <c r="I83" s="6" t="n">
        <v>15</v>
      </c>
      <c r="J83" s="102">
        <f>IF(TRIM(H83)="",0,LEN(TRIM(H83))-LEN(SUBSTITUTE(TRIM(H83)," ",""))+1)</f>
        <v/>
      </c>
      <c r="K83" s="105">
        <f>IF(J83&gt;I83,"OVER ↑","✓")</f>
        <v/>
      </c>
      <c r="L83" s="6" t="inlineStr">
        <is>
          <t>HIGH-CHURN</t>
        </is>
      </c>
      <c r="M83" s="6" t="inlineStr">
        <is>
          <t>2026-02-17</t>
        </is>
      </c>
      <c r="N83" s="6" t="inlineStr">
        <is>
          <t>J.Cranshaw</t>
        </is>
      </c>
      <c r="O83" s="6" t="inlineStr">
        <is>
          <t>2027-02-17</t>
        </is>
      </c>
      <c r="P83" s="6" t="inlineStr">
        <is>
          <t>EN</t>
        </is>
      </c>
      <c r="Q83" s="6" t="n">
        <v>2</v>
      </c>
      <c r="R83" s="6" t="n"/>
    </row>
    <row r="84" ht="40" customHeight="1">
      <c r="A84" s="3" t="inlineStr">
        <is>
          <t>P3-MREF-002</t>
        </is>
      </c>
      <c r="B84" s="3" t="n">
        <v>3</v>
      </c>
      <c r="C84" s="3" t="inlineStr">
        <is>
          <t>3. Legal Support Navigator</t>
        </is>
      </c>
      <c r="D84" s="3" t="inlineStr">
        <is>
          <t>legal</t>
        </is>
      </c>
      <c r="E84" s="3" t="inlineStr">
        <is>
          <t>general</t>
        </is>
      </c>
      <c r="F84" s="11" t="inlineStr">
        <is>
          <t>MECHANISM-REF</t>
        </is>
      </c>
      <c r="G84" s="3" t="n">
        <v>2</v>
      </c>
      <c r="H84" s="3" t="inlineStr">
        <is>
          <t>→ PILnet Pro Bono Network (see Mechanisms sheet: MECH-L-002)</t>
        </is>
      </c>
      <c r="I84" s="3" t="n">
        <v>15</v>
      </c>
      <c r="J84" s="104">
        <f>IF(TRIM(H84)="",0,LEN(TRIM(H84))-LEN(SUBSTITUTE(TRIM(H84)," ",""))+1)</f>
        <v/>
      </c>
      <c r="K84" s="105">
        <f>IF(J84&gt;I84,"OVER ↑","✓")</f>
        <v/>
      </c>
      <c r="L84" s="3" t="inlineStr">
        <is>
          <t>HIGH-CHURN</t>
        </is>
      </c>
      <c r="M84" s="3" t="inlineStr">
        <is>
          <t>2026-02-17</t>
        </is>
      </c>
      <c r="N84" s="3" t="inlineStr">
        <is>
          <t>J.Cranshaw</t>
        </is>
      </c>
      <c r="O84" s="3" t="inlineStr">
        <is>
          <t>2027-02-17</t>
        </is>
      </c>
      <c r="P84" s="3" t="inlineStr">
        <is>
          <t>EN</t>
        </is>
      </c>
      <c r="Q84" s="3" t="n">
        <v>3</v>
      </c>
      <c r="R84" s="3" t="n"/>
    </row>
    <row r="85" ht="40" customHeight="1">
      <c r="A85" s="6" t="inlineStr">
        <is>
          <t>P3-MREF-003</t>
        </is>
      </c>
      <c r="B85" s="6" t="n">
        <v>3</v>
      </c>
      <c r="C85" s="6" t="inlineStr">
        <is>
          <t>3. Legal Support Navigator</t>
        </is>
      </c>
      <c r="D85" s="6" t="inlineStr">
        <is>
          <t>legal</t>
        </is>
      </c>
      <c r="E85" s="6" t="inlineStr">
        <is>
          <t>general</t>
        </is>
      </c>
      <c r="F85" s="11" t="inlineStr">
        <is>
          <t>MECHANISM-REF</t>
        </is>
      </c>
      <c r="G85" s="6" t="n">
        <v>2</v>
      </c>
      <c r="H85" s="6" t="inlineStr">
        <is>
          <t>→ TrustLaw Thomson Reuters (see Mechanisms sheet: MECH-L-003)</t>
        </is>
      </c>
      <c r="I85" s="6" t="n">
        <v>15</v>
      </c>
      <c r="J85" s="102">
        <f>IF(TRIM(H85)="",0,LEN(TRIM(H85))-LEN(SUBSTITUTE(TRIM(H85)," ",""))+1)</f>
        <v/>
      </c>
      <c r="K85" s="105">
        <f>IF(J85&gt;I85,"OVER ↑","✓")</f>
        <v/>
      </c>
      <c r="L85" s="6" t="inlineStr">
        <is>
          <t>HIGH-CHURN</t>
        </is>
      </c>
      <c r="M85" s="6" t="inlineStr">
        <is>
          <t>2026-02-17</t>
        </is>
      </c>
      <c r="N85" s="6" t="inlineStr">
        <is>
          <t>J.Cranshaw</t>
        </is>
      </c>
      <c r="O85" s="6" t="inlineStr">
        <is>
          <t>2027-02-17</t>
        </is>
      </c>
      <c r="P85" s="6" t="inlineStr">
        <is>
          <t>EN</t>
        </is>
      </c>
      <c r="Q85" s="6" t="n">
        <v>4</v>
      </c>
      <c r="R85" s="6" t="n"/>
    </row>
    <row r="86" ht="40" customHeight="1">
      <c r="A86" s="3" t="inlineStr">
        <is>
          <t>P3-TIP-001</t>
        </is>
      </c>
      <c r="B86" s="3" t="n">
        <v>3</v>
      </c>
      <c r="C86" s="3" t="inlineStr">
        <is>
          <t>3. Legal Support Navigator</t>
        </is>
      </c>
      <c r="D86" s="3" t="inlineStr">
        <is>
          <t>legal</t>
        </is>
      </c>
      <c r="E86" s="3" t="inlineStr">
        <is>
          <t>general</t>
        </is>
      </c>
      <c r="F86" s="9" t="inlineStr">
        <is>
          <t>TIP</t>
        </is>
      </c>
      <c r="G86" s="3" t="n">
        <v>1</v>
      </c>
      <c r="H86" s="3" t="inlineStr">
        <is>
          <t>Lorem ipsum dolor sit amet consectetur adipiscing elit sed do eiusmod tempor incididunt ut labore et dolore magna aliqua ut enim ad minim veniam quis nostrud</t>
        </is>
      </c>
      <c r="I86" s="3" t="n">
        <v>35</v>
      </c>
      <c r="J86" s="104">
        <f>IF(TRIM(H86)="",0,LEN(TRIM(H86))-LEN(SUBSTITUTE(TRIM(H86)," ",""))+1)</f>
        <v/>
      </c>
      <c r="K86" s="105">
        <f>IF(J86&gt;I86,"OVER ↑","✓")</f>
        <v/>
      </c>
      <c r="L86" s="3" t="inlineStr">
        <is>
          <t>STABLE</t>
        </is>
      </c>
      <c r="M86" s="3" t="inlineStr">
        <is>
          <t>2026-02-17</t>
        </is>
      </c>
      <c r="N86" s="3" t="inlineStr">
        <is>
          <t>J.Cranshaw</t>
        </is>
      </c>
      <c r="O86" s="3" t="inlineStr">
        <is>
          <t>2028-02-17</t>
        </is>
      </c>
      <c r="P86" s="3" t="inlineStr">
        <is>
          <t>EN</t>
        </is>
      </c>
      <c r="Q86" s="3" t="n">
        <v>5</v>
      </c>
      <c r="R86" s="3" t="n"/>
    </row>
    <row r="87" ht="40" customHeight="1">
      <c r="A87" s="3" t="inlineStr">
        <is>
          <t>P3-STEP-001</t>
        </is>
      </c>
      <c r="B87" s="3" t="n">
        <v>3</v>
      </c>
      <c r="C87" s="3" t="inlineStr">
        <is>
          <t>3. Legal Support Navigator</t>
        </is>
      </c>
      <c r="D87" s="3" t="inlineStr">
        <is>
          <t>legal</t>
        </is>
      </c>
      <c r="E87" s="3" t="inlineStr">
        <is>
          <t>general</t>
        </is>
      </c>
      <c r="F87" s="7" t="inlineStr">
        <is>
          <t>STEP</t>
        </is>
      </c>
      <c r="G87" s="3" t="n">
        <v>1</v>
      </c>
      <c r="H87" s="3" t="inlineStr">
        <is>
          <t>Lorem ipsum dolor sit amet consectetur adipiscing elit sed do eiusmod tempor incididunt ut labore et dolore magna</t>
        </is>
      </c>
      <c r="I87" s="3" t="n">
        <v>25</v>
      </c>
      <c r="J87" s="104">
        <f>IF(TRIM(H87)="",0,LEN(TRIM(H87))-LEN(SUBSTITUTE(TRIM(H87)," ",""))+1)</f>
        <v/>
      </c>
      <c r="K87" s="103">
        <f>IF(J87&gt;I87,"OVER ↑","✓")</f>
        <v/>
      </c>
      <c r="L87" s="3" t="inlineStr">
        <is>
          <t>STABLE</t>
        </is>
      </c>
      <c r="M87" s="3" t="inlineStr">
        <is>
          <t>2026-02-17</t>
        </is>
      </c>
      <c r="N87" s="3" t="inlineStr">
        <is>
          <t>J.Cranshaw</t>
        </is>
      </c>
      <c r="O87" s="3" t="inlineStr">
        <is>
          <t>2028-02-17</t>
        </is>
      </c>
      <c r="P87" s="3" t="inlineStr">
        <is>
          <t>EN</t>
        </is>
      </c>
      <c r="Q87" s="3" t="n">
        <v>6</v>
      </c>
      <c r="R87" s="3" t="n"/>
    </row>
    <row r="88" ht="40" customHeight="1">
      <c r="A88" s="6" t="inlineStr">
        <is>
          <t>P3-DECISION-001</t>
        </is>
      </c>
      <c r="B88" s="6" t="n">
        <v>3</v>
      </c>
      <c r="C88" s="6" t="inlineStr">
        <is>
          <t>3. Legal Support Navigator</t>
        </is>
      </c>
      <c r="D88" s="6" t="inlineStr">
        <is>
          <t>legal</t>
        </is>
      </c>
      <c r="E88" s="6" t="inlineStr">
        <is>
          <t>general</t>
        </is>
      </c>
      <c r="F88" s="12" t="inlineStr">
        <is>
          <t>DECISION-Q</t>
        </is>
      </c>
      <c r="G88" s="6" t="n">
        <v>1</v>
      </c>
      <c r="H88" s="6" t="inlineStr">
        <is>
          <t>Lorem ipsum dolor sit amet consectetur adipiscing elit sed do eiusmod tempor incididunt ut labore</t>
        </is>
      </c>
      <c r="I88" s="6" t="n">
        <v>20</v>
      </c>
      <c r="J88" s="102">
        <f>IF(TRIM(H88)="",0,LEN(TRIM(H88))-LEN(SUBSTITUTE(TRIM(H88)," ",""))+1)</f>
        <v/>
      </c>
      <c r="K88" s="103">
        <f>IF(J88&gt;I88,"OVER ↑","✓")</f>
        <v/>
      </c>
      <c r="L88" s="6" t="inlineStr">
        <is>
          <t>STABLE</t>
        </is>
      </c>
      <c r="M88" s="6" t="inlineStr">
        <is>
          <t>2026-02-17</t>
        </is>
      </c>
      <c r="N88" s="6" t="inlineStr">
        <is>
          <t>J.Cranshaw</t>
        </is>
      </c>
      <c r="O88" s="6" t="inlineStr">
        <is>
          <t>2028-02-17</t>
        </is>
      </c>
      <c r="P88" s="6" t="inlineStr">
        <is>
          <t>EN</t>
        </is>
      </c>
      <c r="Q88" s="6" t="n">
        <v>7</v>
      </c>
      <c r="R88" s="6" t="n"/>
    </row>
    <row r="89" ht="40" customHeight="1">
      <c r="A89" s="3" t="inlineStr">
        <is>
          <t>P3-DECISION-002</t>
        </is>
      </c>
      <c r="B89" s="3" t="n">
        <v>3</v>
      </c>
      <c r="C89" s="3" t="inlineStr">
        <is>
          <t>3. Legal Support Navigator</t>
        </is>
      </c>
      <c r="D89" s="3" t="inlineStr">
        <is>
          <t>legal</t>
        </is>
      </c>
      <c r="E89" s="3" t="inlineStr">
        <is>
          <t>general</t>
        </is>
      </c>
      <c r="F89" s="13" t="inlineStr">
        <is>
          <t>DECISION-A</t>
        </is>
      </c>
      <c r="G89" s="3" t="n">
        <v>1</v>
      </c>
      <c r="H89" s="3" t="inlineStr">
        <is>
          <t>Lorem ipsum dolor sit amet consectetur</t>
        </is>
      </c>
      <c r="I89" s="3" t="n">
        <v>8</v>
      </c>
      <c r="J89" s="104">
        <f>IF(TRIM(H89)="",0,LEN(TRIM(H89))-LEN(SUBSTITUTE(TRIM(H89)," ",""))+1)</f>
        <v/>
      </c>
      <c r="K89" s="103">
        <f>IF(J89&gt;I89,"OVER ↑","✓")</f>
        <v/>
      </c>
      <c r="L89" s="3" t="inlineStr">
        <is>
          <t>STABLE</t>
        </is>
      </c>
      <c r="M89" s="3" t="inlineStr">
        <is>
          <t>2026-02-17</t>
        </is>
      </c>
      <c r="N89" s="3" t="inlineStr">
        <is>
          <t>J.Cranshaw</t>
        </is>
      </c>
      <c r="O89" s="3" t="inlineStr">
        <is>
          <t>2028-02-17</t>
        </is>
      </c>
      <c r="P89" s="3" t="inlineStr">
        <is>
          <t>EN</t>
        </is>
      </c>
      <c r="Q89" s="3" t="n">
        <v>8</v>
      </c>
      <c r="R89" s="3" t="n"/>
    </row>
    <row r="90" ht="40" customHeight="1">
      <c r="A90" s="6" t="inlineStr">
        <is>
          <t>P3-DECISION-003</t>
        </is>
      </c>
      <c r="B90" s="6" t="n">
        <v>3</v>
      </c>
      <c r="C90" s="6" t="inlineStr">
        <is>
          <t>3. Legal Support Navigator</t>
        </is>
      </c>
      <c r="D90" s="6" t="inlineStr">
        <is>
          <t>legal</t>
        </is>
      </c>
      <c r="E90" s="6" t="inlineStr">
        <is>
          <t>general</t>
        </is>
      </c>
      <c r="F90" s="13" t="inlineStr">
        <is>
          <t>DECISION-A</t>
        </is>
      </c>
      <c r="G90" s="6" t="n">
        <v>1</v>
      </c>
      <c r="H90" s="6" t="inlineStr">
        <is>
          <t>Lorem ipsum dolor sit amet consectetur</t>
        </is>
      </c>
      <c r="I90" s="6" t="n">
        <v>8</v>
      </c>
      <c r="J90" s="102">
        <f>IF(TRIM(H90)="",0,LEN(TRIM(H90))-LEN(SUBSTITUTE(TRIM(H90)," ",""))+1)</f>
        <v/>
      </c>
      <c r="K90" s="103">
        <f>IF(J90&gt;I90,"OVER ↑","✓")</f>
        <v/>
      </c>
      <c r="L90" s="6" t="inlineStr">
        <is>
          <t>STABLE</t>
        </is>
      </c>
      <c r="M90" s="6" t="inlineStr">
        <is>
          <t>2026-02-17</t>
        </is>
      </c>
      <c r="N90" s="6" t="inlineStr">
        <is>
          <t>J.Cranshaw</t>
        </is>
      </c>
      <c r="O90" s="6" t="inlineStr">
        <is>
          <t>2028-02-17</t>
        </is>
      </c>
      <c r="P90" s="6" t="inlineStr">
        <is>
          <t>EN</t>
        </is>
      </c>
      <c r="Q90" s="6" t="n">
        <v>9</v>
      </c>
      <c r="R90" s="6" t="n"/>
    </row>
    <row r="91" ht="40" customHeight="1">
      <c r="A91" s="3" t="inlineStr">
        <is>
          <t>P3-DECISION-004</t>
        </is>
      </c>
      <c r="B91" s="3" t="n">
        <v>3</v>
      </c>
      <c r="C91" s="3" t="inlineStr">
        <is>
          <t>3. Legal Support Navigator</t>
        </is>
      </c>
      <c r="D91" s="3" t="inlineStr">
        <is>
          <t>legal</t>
        </is>
      </c>
      <c r="E91" s="3" t="inlineStr">
        <is>
          <t>general</t>
        </is>
      </c>
      <c r="F91" s="13" t="inlineStr">
        <is>
          <t>DECISION-A</t>
        </is>
      </c>
      <c r="G91" s="3" t="n">
        <v>1</v>
      </c>
      <c r="H91" s="3" t="inlineStr">
        <is>
          <t>Lorem ipsum dolor sit amet consectetur</t>
        </is>
      </c>
      <c r="I91" s="3" t="n">
        <v>8</v>
      </c>
      <c r="J91" s="104">
        <f>IF(TRIM(H91)="",0,LEN(TRIM(H91))-LEN(SUBSTITUTE(TRIM(H91)," ",""))+1)</f>
        <v/>
      </c>
      <c r="K91" s="103">
        <f>IF(J91&gt;I91,"OVER ↑","✓")</f>
        <v/>
      </c>
      <c r="L91" s="3" t="inlineStr">
        <is>
          <t>STABLE</t>
        </is>
      </c>
      <c r="M91" s="3" t="inlineStr">
        <is>
          <t>2026-02-17</t>
        </is>
      </c>
      <c r="N91" s="3" t="inlineStr">
        <is>
          <t>J.Cranshaw</t>
        </is>
      </c>
      <c r="O91" s="3" t="inlineStr">
        <is>
          <t>2028-02-17</t>
        </is>
      </c>
      <c r="P91" s="3" t="inlineStr">
        <is>
          <t>EN</t>
        </is>
      </c>
      <c r="Q91" s="3" t="n">
        <v>10</v>
      </c>
      <c r="R91" s="3" t="n"/>
    </row>
    <row r="92" ht="40" customHeight="1">
      <c r="A92" s="6" t="inlineStr">
        <is>
          <t>P3-DECISION-005</t>
        </is>
      </c>
      <c r="B92" s="6" t="n">
        <v>3</v>
      </c>
      <c r="C92" s="6" t="inlineStr">
        <is>
          <t>3. Legal Support Navigator</t>
        </is>
      </c>
      <c r="D92" s="6" t="inlineStr">
        <is>
          <t>legal</t>
        </is>
      </c>
      <c r="E92" s="6" t="inlineStr">
        <is>
          <t>general</t>
        </is>
      </c>
      <c r="F92" s="13" t="inlineStr">
        <is>
          <t>DECISION-A</t>
        </is>
      </c>
      <c r="G92" s="6" t="n">
        <v>1</v>
      </c>
      <c r="H92" s="6" t="inlineStr">
        <is>
          <t>Lorem ipsum dolor sit amet consectetur</t>
        </is>
      </c>
      <c r="I92" s="6" t="n">
        <v>8</v>
      </c>
      <c r="J92" s="102">
        <f>IF(TRIM(H92)="",0,LEN(TRIM(H92))-LEN(SUBSTITUTE(TRIM(H92)," ",""))+1)</f>
        <v/>
      </c>
      <c r="K92" s="103">
        <f>IF(J92&gt;I92,"OVER ↑","✓")</f>
        <v/>
      </c>
      <c r="L92" s="6" t="inlineStr">
        <is>
          <t>STABLE</t>
        </is>
      </c>
      <c r="M92" s="6" t="inlineStr">
        <is>
          <t>2026-02-17</t>
        </is>
      </c>
      <c r="N92" s="6" t="inlineStr">
        <is>
          <t>J.Cranshaw</t>
        </is>
      </c>
      <c r="O92" s="6" t="inlineStr">
        <is>
          <t>2028-02-17</t>
        </is>
      </c>
      <c r="P92" s="6" t="inlineStr">
        <is>
          <t>EN</t>
        </is>
      </c>
      <c r="Q92" s="6" t="n">
        <v>11</v>
      </c>
      <c r="R92" s="6" t="n"/>
    </row>
    <row r="93" ht="40" customHeight="1">
      <c r="A93" s="3" t="inlineStr">
        <is>
          <t>P3-WARNING-001</t>
        </is>
      </c>
      <c r="B93" s="3" t="n">
        <v>3</v>
      </c>
      <c r="C93" s="3" t="inlineStr">
        <is>
          <t>3. Legal Support Navigator</t>
        </is>
      </c>
      <c r="D93" s="3" t="inlineStr">
        <is>
          <t>legal</t>
        </is>
      </c>
      <c r="E93" s="3" t="inlineStr">
        <is>
          <t>general</t>
        </is>
      </c>
      <c r="F93" s="10" t="inlineStr">
        <is>
          <t>WARNING</t>
        </is>
      </c>
      <c r="G93" s="3" t="n">
        <v>1</v>
      </c>
      <c r="H93" s="3" t="inlineStr">
        <is>
          <t>Lorem ipsum dolor sit amet consectetur adipiscing elit sed do eiusmod tempor incididunt ut labore et dolore magna aliqua ut enim ad minim veniam quis nostrud</t>
        </is>
      </c>
      <c r="I93" s="3" t="n">
        <v>35</v>
      </c>
      <c r="J93" s="104">
        <f>IF(TRIM(H93)="",0,LEN(TRIM(H93))-LEN(SUBSTITUTE(TRIM(H93)," ",""))+1)</f>
        <v/>
      </c>
      <c r="K93" s="103">
        <f>IF(J93&gt;I93,"OVER ↑","✓")</f>
        <v/>
      </c>
      <c r="L93" s="3" t="inlineStr">
        <is>
          <t>HIGH-CHURN</t>
        </is>
      </c>
      <c r="M93" s="3" t="inlineStr">
        <is>
          <t>2026-02-17</t>
        </is>
      </c>
      <c r="N93" s="3" t="inlineStr">
        <is>
          <t>J.Cranshaw</t>
        </is>
      </c>
      <c r="O93" s="3" t="inlineStr">
        <is>
          <t>2027-02-17</t>
        </is>
      </c>
      <c r="P93" s="3" t="inlineStr">
        <is>
          <t>EN</t>
        </is>
      </c>
      <c r="Q93" s="3" t="n">
        <v>12</v>
      </c>
      <c r="R93" s="3" t="inlineStr">
        <is>
          <t>Critical — review annually</t>
        </is>
      </c>
    </row>
    <row r="94" ht="40" customHeight="1">
      <c r="A94" s="6" t="inlineStr">
        <is>
          <t>P3-TIP-002</t>
        </is>
      </c>
      <c r="B94" s="6" t="n">
        <v>3</v>
      </c>
      <c r="C94" s="6" t="inlineStr">
        <is>
          <t>3. Legal Support Navigator</t>
        </is>
      </c>
      <c r="D94" s="6" t="inlineStr">
        <is>
          <t>legal</t>
        </is>
      </c>
      <c r="E94" s="6" t="inlineStr">
        <is>
          <t>general</t>
        </is>
      </c>
      <c r="F94" s="9" t="inlineStr">
        <is>
          <t>TIP</t>
        </is>
      </c>
      <c r="G94" s="6" t="n">
        <v>1</v>
      </c>
      <c r="H94" s="6" t="inlineStr">
        <is>
          <t>Lorem ipsum dolor sit amet consectetur adipiscing elit sed do eiusmod tempor incididunt ut labore et dolore magna aliqua ut enim ad minim veniam quis nostrud</t>
        </is>
      </c>
      <c r="I94" s="6" t="n">
        <v>35</v>
      </c>
      <c r="J94" s="102">
        <f>IF(TRIM(H94)="",0,LEN(TRIM(H94))-LEN(SUBSTITUTE(TRIM(H94)," ",""))+1)</f>
        <v/>
      </c>
      <c r="K94" s="103">
        <f>IF(J94&gt;I94,"OVER ↑","✓")</f>
        <v/>
      </c>
      <c r="L94" s="6" t="inlineStr">
        <is>
          <t>STABLE</t>
        </is>
      </c>
      <c r="M94" s="6" t="inlineStr">
        <is>
          <t>2026-02-17</t>
        </is>
      </c>
      <c r="N94" s="6" t="inlineStr">
        <is>
          <t>J.Cranshaw</t>
        </is>
      </c>
      <c r="O94" s="6" t="inlineStr">
        <is>
          <t>2028-02-17</t>
        </is>
      </c>
      <c r="P94" s="6" t="inlineStr">
        <is>
          <t>EN</t>
        </is>
      </c>
      <c r="Q94" s="6" t="n">
        <v>13</v>
      </c>
      <c r="R94" s="6" t="n"/>
    </row>
    <row r="95" ht="40" customHeight="1">
      <c r="A95" s="3" t="inlineStr">
        <is>
          <t>P3-DBREF-001</t>
        </is>
      </c>
      <c r="B95" s="3" t="n">
        <v>3</v>
      </c>
      <c r="C95" s="3" t="inlineStr">
        <is>
          <t>3. Legal Support Navigator</t>
        </is>
      </c>
      <c r="D95" s="3" t="inlineStr">
        <is>
          <t>legal</t>
        </is>
      </c>
      <c r="E95" s="3" t="inlineStr">
        <is>
          <t>general</t>
        </is>
      </c>
      <c r="F95" s="16" t="inlineStr">
        <is>
          <t>DB-REF</t>
        </is>
      </c>
      <c r="G95" s="3" t="n">
        <v>1</v>
      </c>
      <c r="H95" s="3" t="inlineStr">
        <is>
          <t>Lorem ipsum dolor sit amet consectetur adipiscing elit sed do eiusmod tempor incididunt ut labore et dolore magna aliqua ut enim ad minim veniam quis nostrud exercitation ullamco laboris nisi</t>
        </is>
      </c>
      <c r="I95" s="3" t="n">
        <v>40</v>
      </c>
      <c r="J95" s="104">
        <f>IF(TRIM(H95)="",0,LEN(TRIM(H95))-LEN(SUBSTITUTE(TRIM(H95)," ",""))+1)</f>
        <v/>
      </c>
      <c r="K95" s="103">
        <f>IF(J95&gt;I95,"OVER ↑","✓")</f>
        <v/>
      </c>
      <c r="L95" s="3" t="inlineStr">
        <is>
          <t>HIGH-CHURN</t>
        </is>
      </c>
      <c r="M95" s="3" t="inlineStr">
        <is>
          <t>2026-02-17</t>
        </is>
      </c>
      <c r="N95" s="3" t="inlineStr">
        <is>
          <t>J.Cranshaw</t>
        </is>
      </c>
      <c r="O95" s="3" t="inlineStr">
        <is>
          <t>2027-02-17</t>
        </is>
      </c>
      <c r="P95" s="3" t="inlineStr">
        <is>
          <t>EN</t>
        </is>
      </c>
      <c r="Q95" s="3" t="n">
        <v>14</v>
      </c>
      <c r="R95" s="3" t="inlineStr">
        <is>
          <t>Do not copy ICNL content — link to live profiles</t>
        </is>
      </c>
    </row>
    <row r="96" ht="40" customHeight="1">
      <c r="A96" s="6" t="inlineStr">
        <is>
          <t>P4-INTRO-001</t>
        </is>
      </c>
      <c r="B96" s="6" t="n">
        <v>4</v>
      </c>
      <c r="C96" s="6" t="inlineStr">
        <is>
          <t>4. Emergency Funding Guide</t>
        </is>
      </c>
      <c r="D96" s="6" t="inlineStr">
        <is>
          <t>emergency-funding</t>
        </is>
      </c>
      <c r="E96" s="6" t="inlineStr">
        <is>
          <t>general</t>
        </is>
      </c>
      <c r="F96" s="4" t="inlineStr">
        <is>
          <t>INTRO</t>
        </is>
      </c>
      <c r="G96" s="6" t="n">
        <v>1</v>
      </c>
      <c r="H96" s="6"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t>
        </is>
      </c>
      <c r="I96" s="6" t="n">
        <v>60</v>
      </c>
      <c r="J96" s="102">
        <f>IF(TRIM(H96)="",0,LEN(TRIM(H96))-LEN(SUBSTITUTE(TRIM(H96)," ",""))+1)</f>
        <v/>
      </c>
      <c r="K96" s="105">
        <f>IF(J96&gt;I96,"OVER ↑","✓")</f>
        <v/>
      </c>
      <c r="L96" s="6" t="inlineStr">
        <is>
          <t>HIGH-CHURN</t>
        </is>
      </c>
      <c r="M96" s="6" t="inlineStr">
        <is>
          <t>2026-02-17</t>
        </is>
      </c>
      <c r="N96" s="6" t="inlineStr">
        <is>
          <t>J.Cranshaw</t>
        </is>
      </c>
      <c r="O96" s="6" t="inlineStr">
        <is>
          <t>2027-02-17</t>
        </is>
      </c>
      <c r="P96" s="6" t="inlineStr">
        <is>
          <t>EN</t>
        </is>
      </c>
      <c r="Q96" s="6" t="n">
        <v>1</v>
      </c>
      <c r="R96" s="6" t="inlineStr">
        <is>
          <t>High churn section — review every 6 months if possible</t>
        </is>
      </c>
    </row>
    <row r="97" ht="40" customHeight="1">
      <c r="A97" s="3" t="inlineStr">
        <is>
          <t>P4-DBREF-001</t>
        </is>
      </c>
      <c r="B97" s="3" t="n">
        <v>4</v>
      </c>
      <c r="C97" s="3" t="inlineStr">
        <is>
          <t>4. Emergency Funding Guide</t>
        </is>
      </c>
      <c r="D97" s="3" t="inlineStr">
        <is>
          <t>emergency-funding</t>
        </is>
      </c>
      <c r="E97" s="3" t="inlineStr">
        <is>
          <t>general</t>
        </is>
      </c>
      <c r="F97" s="14" t="inlineStr">
        <is>
          <t>DB-REF</t>
        </is>
      </c>
      <c r="G97" s="3" t="n">
        <v>1</v>
      </c>
      <c r="H97" s="3" t="inlineStr">
        <is>
          <t>Lorem ipsum dolor sit amet consectetur adipiscing elit sed do eiusmod tempor incididunt ut labore et dolore magna aliqua ut enim ad minim veniam quis nostrud exercitation ullamco laboris nisi</t>
        </is>
      </c>
      <c r="I97" s="3" t="n">
        <v>40</v>
      </c>
      <c r="J97" s="104">
        <f>IF(TRIM(H97)="",0,LEN(TRIM(H97))-LEN(SUBSTITUTE(TRIM(H97)," ",""))+1)</f>
        <v/>
      </c>
      <c r="K97" s="105">
        <f>IF(J97&gt;I97,"OVER ↑","✓")</f>
        <v/>
      </c>
      <c r="L97" s="3" t="inlineStr">
        <is>
          <t>HIGH-CHURN</t>
        </is>
      </c>
      <c r="M97" s="3" t="inlineStr">
        <is>
          <t>2026-02-17</t>
        </is>
      </c>
      <c r="N97" s="3" t="inlineStr">
        <is>
          <t>J.Cranshaw</t>
        </is>
      </c>
      <c r="O97" s="3" t="inlineStr">
        <is>
          <t>2027-02-17</t>
        </is>
      </c>
      <c r="P97" s="3" t="inlineStr">
        <is>
          <t>EN</t>
        </is>
      </c>
      <c r="Q97" s="3" t="n">
        <v>2</v>
      </c>
      <c r="R97" s="3" t="inlineStr">
        <is>
          <t>This replaces copying ICNL content — always link, never copy</t>
        </is>
      </c>
    </row>
    <row r="98" ht="40" customHeight="1">
      <c r="A98" s="6" t="inlineStr">
        <is>
          <t>P4-MREF-001</t>
        </is>
      </c>
      <c r="B98" s="6" t="n">
        <v>4</v>
      </c>
      <c r="C98" s="6" t="inlineStr">
        <is>
          <t>4. Emergency Funding Guide</t>
        </is>
      </c>
      <c r="D98" s="6" t="inlineStr">
        <is>
          <t>emergency-funding</t>
        </is>
      </c>
      <c r="E98" s="6" t="inlineStr">
        <is>
          <t>general</t>
        </is>
      </c>
      <c r="F98" s="11" t="inlineStr">
        <is>
          <t>MECHANISM-REF</t>
        </is>
      </c>
      <c r="G98" s="6" t="n">
        <v>2</v>
      </c>
      <c r="H98" s="6" t="inlineStr">
        <is>
          <t>→ Lifeline Embattled CSO Fund (see Mechanisms: MECH-F-001)</t>
        </is>
      </c>
      <c r="I98" s="6" t="n">
        <v>15</v>
      </c>
      <c r="J98" s="102">
        <f>IF(TRIM(H98)="",0,LEN(TRIM(H98))-LEN(SUBSTITUTE(TRIM(H98)," ",""))+1)</f>
        <v/>
      </c>
      <c r="K98" s="105">
        <f>IF(J98&gt;I98,"OVER ↑","✓")</f>
        <v/>
      </c>
      <c r="L98" s="6" t="inlineStr">
        <is>
          <t>HIGH-CHURN</t>
        </is>
      </c>
      <c r="M98" s="6" t="inlineStr">
        <is>
          <t>2026-02-17</t>
        </is>
      </c>
      <c r="N98" s="6" t="inlineStr">
        <is>
          <t>J.Cranshaw</t>
        </is>
      </c>
      <c r="O98" s="6" t="inlineStr">
        <is>
          <t>2027-02-17</t>
        </is>
      </c>
      <c r="P98" s="6" t="inlineStr">
        <is>
          <t>EN</t>
        </is>
      </c>
      <c r="Q98" s="6" t="n">
        <v>3</v>
      </c>
      <c r="R98" s="6" t="n"/>
    </row>
    <row r="99" ht="40" customHeight="1">
      <c r="A99" s="3" t="inlineStr">
        <is>
          <t>P4-MREF-002</t>
        </is>
      </c>
      <c r="B99" s="3" t="n">
        <v>4</v>
      </c>
      <c r="C99" s="3" t="inlineStr">
        <is>
          <t>4. Emergency Funding Guide</t>
        </is>
      </c>
      <c r="D99" s="3" t="inlineStr">
        <is>
          <t>emergency-funding</t>
        </is>
      </c>
      <c r="E99" s="3" t="inlineStr">
        <is>
          <t>general</t>
        </is>
      </c>
      <c r="F99" s="11" t="inlineStr">
        <is>
          <t>MECHANISM-REF</t>
        </is>
      </c>
      <c r="G99" s="3" t="n">
        <v>2</v>
      </c>
      <c r="H99" s="3" t="inlineStr">
        <is>
          <t>→ Lighthouse Global Protection Fund (see Mechanisms: MECH-F-002)</t>
        </is>
      </c>
      <c r="I99" s="3" t="n">
        <v>15</v>
      </c>
      <c r="J99" s="104">
        <f>IF(TRIM(H99)="",0,LEN(TRIM(H99))-LEN(SUBSTITUTE(TRIM(H99)," ",""))+1)</f>
        <v/>
      </c>
      <c r="K99" s="105">
        <f>IF(J99&gt;I99,"OVER ↑","✓")</f>
        <v/>
      </c>
      <c r="L99" s="3" t="inlineStr">
        <is>
          <t>HIGH-CHURN</t>
        </is>
      </c>
      <c r="M99" s="3" t="inlineStr">
        <is>
          <t>2026-02-17</t>
        </is>
      </c>
      <c r="N99" s="3" t="inlineStr">
        <is>
          <t>J.Cranshaw</t>
        </is>
      </c>
      <c r="O99" s="3" t="inlineStr">
        <is>
          <t>2027-02-17</t>
        </is>
      </c>
      <c r="P99" s="3" t="inlineStr">
        <is>
          <t>EN</t>
        </is>
      </c>
      <c r="Q99" s="3" t="n">
        <v>4</v>
      </c>
      <c r="R99" s="3" t="n"/>
    </row>
    <row r="100" ht="40" customHeight="1">
      <c r="A100" s="6" t="inlineStr">
        <is>
          <t>P4-STEP-001</t>
        </is>
      </c>
      <c r="B100" s="6" t="n">
        <v>4</v>
      </c>
      <c r="C100" s="6" t="inlineStr">
        <is>
          <t>4. Emergency Funding Guide</t>
        </is>
      </c>
      <c r="D100" s="6" t="inlineStr">
        <is>
          <t>emergency-funding</t>
        </is>
      </c>
      <c r="E100" s="6" t="inlineStr">
        <is>
          <t>general</t>
        </is>
      </c>
      <c r="F100" s="7" t="inlineStr">
        <is>
          <t>STEP</t>
        </is>
      </c>
      <c r="G100" s="6" t="n">
        <v>1</v>
      </c>
      <c r="H100" s="6" t="inlineStr">
        <is>
          <t>Lorem ipsum dolor sit amet consectetur adipiscing elit sed do eiusmod tempor incididunt ut labore et dolore magna</t>
        </is>
      </c>
      <c r="I100" s="6" t="n">
        <v>25</v>
      </c>
      <c r="J100" s="102">
        <f>IF(TRIM(H100)="",0,LEN(TRIM(H100))-LEN(SUBSTITUTE(TRIM(H100)," ",""))+1)</f>
        <v/>
      </c>
      <c r="K100" s="103">
        <f>IF(J100&gt;I100,"OVER ↑","✓")</f>
        <v/>
      </c>
      <c r="L100" s="6" t="inlineStr">
        <is>
          <t>STABLE</t>
        </is>
      </c>
      <c r="M100" s="6" t="inlineStr">
        <is>
          <t>2026-02-17</t>
        </is>
      </c>
      <c r="N100" s="6" t="inlineStr">
        <is>
          <t>J.Cranshaw</t>
        </is>
      </c>
      <c r="O100" s="6" t="inlineStr">
        <is>
          <t>2028-02-17</t>
        </is>
      </c>
      <c r="P100" s="6" t="inlineStr">
        <is>
          <t>EN</t>
        </is>
      </c>
      <c r="Q100" s="6" t="n">
        <v>6</v>
      </c>
      <c r="R100" s="6" t="n"/>
    </row>
    <row r="101" ht="40" customHeight="1">
      <c r="A101" s="3" t="inlineStr">
        <is>
          <t>P4-STEP-002</t>
        </is>
      </c>
      <c r="B101" s="3" t="n">
        <v>4</v>
      </c>
      <c r="C101" s="3" t="inlineStr">
        <is>
          <t>4. Emergency Funding Guide</t>
        </is>
      </c>
      <c r="D101" s="3" t="inlineStr">
        <is>
          <t>emergency-funding</t>
        </is>
      </c>
      <c r="E101" s="3" t="inlineStr">
        <is>
          <t>general</t>
        </is>
      </c>
      <c r="F101" s="7" t="inlineStr">
        <is>
          <t>STEP</t>
        </is>
      </c>
      <c r="G101" s="3" t="n">
        <v>1</v>
      </c>
      <c r="H101" s="3" t="inlineStr">
        <is>
          <t>Lorem ipsum dolor sit amet consectetur adipiscing elit sed do eiusmod tempor incididunt ut labore et dolore magna</t>
        </is>
      </c>
      <c r="I101" s="3" t="n">
        <v>25</v>
      </c>
      <c r="J101" s="104">
        <f>IF(TRIM(H101)="",0,LEN(TRIM(H101))-LEN(SUBSTITUTE(TRIM(H101)," ",""))+1)</f>
        <v/>
      </c>
      <c r="K101" s="103">
        <f>IF(J101&gt;I101,"OVER ↑","✓")</f>
        <v/>
      </c>
      <c r="L101" s="3" t="inlineStr">
        <is>
          <t>STABLE</t>
        </is>
      </c>
      <c r="M101" s="3" t="inlineStr">
        <is>
          <t>2026-02-17</t>
        </is>
      </c>
      <c r="N101" s="3" t="inlineStr">
        <is>
          <t>J.Cranshaw</t>
        </is>
      </c>
      <c r="O101" s="3" t="inlineStr">
        <is>
          <t>2028-02-17</t>
        </is>
      </c>
      <c r="P101" s="3" t="inlineStr">
        <is>
          <t>EN</t>
        </is>
      </c>
      <c r="Q101" s="3" t="n">
        <v>7</v>
      </c>
      <c r="R101" s="3" t="n"/>
    </row>
    <row r="102" ht="40" customHeight="1">
      <c r="A102" s="6" t="inlineStr">
        <is>
          <t>P4-WARNING-001</t>
        </is>
      </c>
      <c r="B102" s="6" t="n">
        <v>4</v>
      </c>
      <c r="C102" s="6" t="inlineStr">
        <is>
          <t>4. Emergency Funding Guide</t>
        </is>
      </c>
      <c r="D102" s="6" t="inlineStr">
        <is>
          <t>emergency-funding</t>
        </is>
      </c>
      <c r="E102" s="6" t="inlineStr">
        <is>
          <t>general</t>
        </is>
      </c>
      <c r="F102" s="10" t="inlineStr">
        <is>
          <t>WARNING</t>
        </is>
      </c>
      <c r="G102" s="6" t="n">
        <v>1</v>
      </c>
      <c r="H102" s="6" t="inlineStr">
        <is>
          <t>Lorem ipsum dolor sit amet consectetur adipiscing elit sed do eiusmod tempor incididunt ut labore et dolore magna aliqua ut enim ad minim veniam quis nostrud</t>
        </is>
      </c>
      <c r="I102" s="6" t="n">
        <v>35</v>
      </c>
      <c r="J102" s="102">
        <f>IF(TRIM(H102)="",0,LEN(TRIM(H102))-LEN(SUBSTITUTE(TRIM(H102)," ",""))+1)</f>
        <v/>
      </c>
      <c r="K102" s="103">
        <f>IF(J102&gt;I102,"OVER ↑","✓")</f>
        <v/>
      </c>
      <c r="L102" s="6" t="inlineStr">
        <is>
          <t>HIGH-CHURN</t>
        </is>
      </c>
      <c r="M102" s="6" t="inlineStr">
        <is>
          <t>2026-02-17</t>
        </is>
      </c>
      <c r="N102" s="6" t="inlineStr">
        <is>
          <t>J.Cranshaw</t>
        </is>
      </c>
      <c r="O102" s="6" t="inlineStr">
        <is>
          <t>2027-02-17</t>
        </is>
      </c>
      <c r="P102" s="6" t="inlineStr">
        <is>
          <t>EN</t>
        </is>
      </c>
      <c r="Q102" s="6" t="n">
        <v>8</v>
      </c>
      <c r="R102" s="6" t="inlineStr">
        <is>
          <t>Review every 6 months</t>
        </is>
      </c>
    </row>
    <row r="103" ht="40" customHeight="1">
      <c r="A103" s="3" t="inlineStr">
        <is>
          <t>P4-TIP-001</t>
        </is>
      </c>
      <c r="B103" s="3" t="n">
        <v>4</v>
      </c>
      <c r="C103" s="3" t="inlineStr">
        <is>
          <t>4. Emergency Funding Guide</t>
        </is>
      </c>
      <c r="D103" s="3" t="inlineStr">
        <is>
          <t>emergency-funding</t>
        </is>
      </c>
      <c r="E103" s="3" t="inlineStr">
        <is>
          <t>general</t>
        </is>
      </c>
      <c r="F103" s="9" t="inlineStr">
        <is>
          <t>TIP</t>
        </is>
      </c>
      <c r="G103" s="3" t="n">
        <v>1</v>
      </c>
      <c r="H103" s="3" t="inlineStr">
        <is>
          <t>Lorem ipsum dolor sit amet consectetur adipiscing elit sed do eiusmod tempor incididunt ut labore et dolore magna aliqua ut enim ad minim veniam quis nostrud</t>
        </is>
      </c>
      <c r="I103" s="3" t="n">
        <v>35</v>
      </c>
      <c r="J103" s="104">
        <f>IF(TRIM(H103)="",0,LEN(TRIM(H103))-LEN(SUBSTITUTE(TRIM(H103)," ",""))+1)</f>
        <v/>
      </c>
      <c r="K103" s="103">
        <f>IF(J103&gt;I103,"OVER ↑","✓")</f>
        <v/>
      </c>
      <c r="L103" s="3" t="inlineStr">
        <is>
          <t>STABLE</t>
        </is>
      </c>
      <c r="M103" s="3" t="inlineStr">
        <is>
          <t>2026-02-17</t>
        </is>
      </c>
      <c r="N103" s="3" t="inlineStr">
        <is>
          <t>J.Cranshaw</t>
        </is>
      </c>
      <c r="O103" s="3" t="inlineStr">
        <is>
          <t>2028-02-17</t>
        </is>
      </c>
      <c r="P103" s="3" t="inlineStr">
        <is>
          <t>EN</t>
        </is>
      </c>
      <c r="Q103" s="3" t="n">
        <v>9</v>
      </c>
      <c r="R103" s="3" t="n"/>
    </row>
    <row r="104" ht="40" customHeight="1">
      <c r="A104" s="6" t="inlineStr">
        <is>
          <t>P4-STEP-003</t>
        </is>
      </c>
      <c r="B104" s="6" t="n">
        <v>4</v>
      </c>
      <c r="C104" s="6" t="inlineStr">
        <is>
          <t>4. Emergency Funding Guide</t>
        </is>
      </c>
      <c r="D104" s="6" t="inlineStr">
        <is>
          <t>emergency-funding</t>
        </is>
      </c>
      <c r="E104" s="6" t="inlineStr">
        <is>
          <t>general</t>
        </is>
      </c>
      <c r="F104" s="7" t="inlineStr">
        <is>
          <t>STEP</t>
        </is>
      </c>
      <c r="G104" s="6" t="n">
        <v>1</v>
      </c>
      <c r="H104" s="6" t="inlineStr">
        <is>
          <t>Lorem ipsum dolor sit amet consectetur adipiscing elit sed do eiusmod tempor incididunt ut labore et dolore magna</t>
        </is>
      </c>
      <c r="I104" s="6" t="n">
        <v>25</v>
      </c>
      <c r="J104" s="102">
        <f>IF(TRIM(H104)="",0,LEN(TRIM(H104))-LEN(SUBSTITUTE(TRIM(H104)," ",""))+1)</f>
        <v/>
      </c>
      <c r="K104" s="103">
        <f>IF(J104&gt;I104,"OVER ↑","✓")</f>
        <v/>
      </c>
      <c r="L104" s="6" t="inlineStr">
        <is>
          <t>STABLE</t>
        </is>
      </c>
      <c r="M104" s="6" t="inlineStr">
        <is>
          <t>2026-02-17</t>
        </is>
      </c>
      <c r="N104" s="6" t="inlineStr">
        <is>
          <t>J.Cranshaw</t>
        </is>
      </c>
      <c r="O104" s="6" t="inlineStr">
        <is>
          <t>2028-02-17</t>
        </is>
      </c>
      <c r="P104" s="6" t="inlineStr">
        <is>
          <t>EN</t>
        </is>
      </c>
      <c r="Q104" s="6" t="n">
        <v>10</v>
      </c>
      <c r="R104" s="6" t="n"/>
    </row>
    <row r="105" ht="40" customHeight="1">
      <c r="A105" s="6" t="inlineStr">
        <is>
          <t>P5-INTRO-001</t>
        </is>
      </c>
      <c r="B105" s="6" t="n">
        <v>5</v>
      </c>
      <c r="C105" s="6" t="inlineStr">
        <is>
          <t>5. Safe Advocacy &amp; Comms</t>
        </is>
      </c>
      <c r="D105" s="6" t="inlineStr">
        <is>
          <t>comms</t>
        </is>
      </c>
      <c r="E105" s="6" t="inlineStr">
        <is>
          <t>general</t>
        </is>
      </c>
      <c r="F105" s="4" t="inlineStr">
        <is>
          <t>INTRO</t>
        </is>
      </c>
      <c r="G105" s="6" t="n">
        <v>1</v>
      </c>
      <c r="H105" s="6"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t>
        </is>
      </c>
      <c r="I105" s="6" t="n">
        <v>60</v>
      </c>
      <c r="J105" s="102">
        <f>IF(TRIM(H105)="",0,LEN(TRIM(H105))-LEN(SUBSTITUTE(TRIM(H105)," ",""))+1)</f>
        <v/>
      </c>
      <c r="K105" s="105">
        <f>IF(J105&gt;I105,"OVER ↑","✓")</f>
        <v/>
      </c>
      <c r="L105" s="6" t="inlineStr">
        <is>
          <t>STABLE</t>
        </is>
      </c>
      <c r="M105" s="6" t="inlineStr">
        <is>
          <t>2026-02-17</t>
        </is>
      </c>
      <c r="N105" s="6" t="inlineStr">
        <is>
          <t>J.Cranshaw</t>
        </is>
      </c>
      <c r="O105" s="6" t="inlineStr">
        <is>
          <t>2028-02-17</t>
        </is>
      </c>
      <c r="P105" s="6" t="inlineStr">
        <is>
          <t>EN</t>
        </is>
      </c>
      <c r="Q105" s="6" t="n">
        <v>1</v>
      </c>
      <c r="R105" s="6" t="n"/>
    </row>
    <row r="106" ht="40" customHeight="1">
      <c r="A106" s="3" t="inlineStr">
        <is>
          <t>P5-DECISION-001</t>
        </is>
      </c>
      <c r="B106" s="3" t="n">
        <v>5</v>
      </c>
      <c r="C106" s="3" t="inlineStr">
        <is>
          <t>5. Safe Advocacy &amp; Comms</t>
        </is>
      </c>
      <c r="D106" s="3" t="inlineStr">
        <is>
          <t>comms</t>
        </is>
      </c>
      <c r="E106" s="3" t="inlineStr">
        <is>
          <t>general</t>
        </is>
      </c>
      <c r="F106" s="12" t="inlineStr">
        <is>
          <t>DECISION-Q</t>
        </is>
      </c>
      <c r="G106" s="3" t="n">
        <v>1</v>
      </c>
      <c r="H106" s="3" t="inlineStr">
        <is>
          <t>Lorem ipsum dolor sit amet consectetur adipiscing elit sed do eiusmod tempor incididunt ut labore</t>
        </is>
      </c>
      <c r="I106" s="3" t="n">
        <v>20</v>
      </c>
      <c r="J106" s="104">
        <f>IF(TRIM(H106)="",0,LEN(TRIM(H106))-LEN(SUBSTITUTE(TRIM(H106)," ",""))+1)</f>
        <v/>
      </c>
      <c r="K106" s="105">
        <f>IF(J106&gt;I106,"OVER ↑","✓")</f>
        <v/>
      </c>
      <c r="L106" s="3" t="inlineStr">
        <is>
          <t>STABLE</t>
        </is>
      </c>
      <c r="M106" s="3" t="inlineStr">
        <is>
          <t>2026-02-17</t>
        </is>
      </c>
      <c r="N106" s="3" t="inlineStr">
        <is>
          <t>J.Cranshaw</t>
        </is>
      </c>
      <c r="O106" s="3" t="inlineStr">
        <is>
          <t>2028-02-17</t>
        </is>
      </c>
      <c r="P106" s="3" t="inlineStr">
        <is>
          <t>EN</t>
        </is>
      </c>
      <c r="Q106" s="3" t="n">
        <v>2</v>
      </c>
      <c r="R106" s="3" t="n"/>
    </row>
    <row r="107" ht="40" customHeight="1">
      <c r="A107" s="6" t="inlineStr">
        <is>
          <t>P5-DECISION-002</t>
        </is>
      </c>
      <c r="B107" s="6" t="n">
        <v>5</v>
      </c>
      <c r="C107" s="6" t="inlineStr">
        <is>
          <t>5. Safe Advocacy &amp; Comms</t>
        </is>
      </c>
      <c r="D107" s="6" t="inlineStr">
        <is>
          <t>comms</t>
        </is>
      </c>
      <c r="E107" s="6" t="inlineStr">
        <is>
          <t>general</t>
        </is>
      </c>
      <c r="F107" s="13" t="inlineStr">
        <is>
          <t>DECISION-A</t>
        </is>
      </c>
      <c r="G107" s="6" t="n">
        <v>1</v>
      </c>
      <c r="H107" s="6" t="inlineStr">
        <is>
          <t>Lorem ipsum dolor sit amet consectetur</t>
        </is>
      </c>
      <c r="I107" s="6" t="n">
        <v>8</v>
      </c>
      <c r="J107" s="102">
        <f>IF(TRIM(H107)="",0,LEN(TRIM(H107))-LEN(SUBSTITUTE(TRIM(H107)," ",""))+1)</f>
        <v/>
      </c>
      <c r="K107" s="105">
        <f>IF(J107&gt;I107,"OVER ↑","✓")</f>
        <v/>
      </c>
      <c r="L107" s="6" t="inlineStr">
        <is>
          <t>STABLE</t>
        </is>
      </c>
      <c r="M107" s="6" t="inlineStr">
        <is>
          <t>2026-02-17</t>
        </is>
      </c>
      <c r="N107" s="6" t="inlineStr">
        <is>
          <t>J.Cranshaw</t>
        </is>
      </c>
      <c r="O107" s="6" t="inlineStr">
        <is>
          <t>2028-02-17</t>
        </is>
      </c>
      <c r="P107" s="6" t="inlineStr">
        <is>
          <t>EN</t>
        </is>
      </c>
      <c r="Q107" s="6" t="n">
        <v>3</v>
      </c>
      <c r="R107" s="6" t="n"/>
    </row>
    <row r="108" ht="40" customHeight="1">
      <c r="A108" s="3" t="inlineStr">
        <is>
          <t>P5-DECISION-003</t>
        </is>
      </c>
      <c r="B108" s="3" t="n">
        <v>5</v>
      </c>
      <c r="C108" s="3" t="inlineStr">
        <is>
          <t>5. Safe Advocacy &amp; Comms</t>
        </is>
      </c>
      <c r="D108" s="3" t="inlineStr">
        <is>
          <t>comms</t>
        </is>
      </c>
      <c r="E108" s="3" t="inlineStr">
        <is>
          <t>general</t>
        </is>
      </c>
      <c r="F108" s="13" t="inlineStr">
        <is>
          <t>DECISION-A</t>
        </is>
      </c>
      <c r="G108" s="3" t="n">
        <v>1</v>
      </c>
      <c r="H108" s="3" t="inlineStr">
        <is>
          <t>Lorem ipsum dolor sit amet consectetur</t>
        </is>
      </c>
      <c r="I108" s="3" t="n">
        <v>8</v>
      </c>
      <c r="J108" s="104">
        <f>IF(TRIM(H108)="",0,LEN(TRIM(H108))-LEN(SUBSTITUTE(TRIM(H108)," ",""))+1)</f>
        <v/>
      </c>
      <c r="K108" s="105">
        <f>IF(J108&gt;I108,"OVER ↑","✓")</f>
        <v/>
      </c>
      <c r="L108" s="3" t="inlineStr">
        <is>
          <t>STABLE</t>
        </is>
      </c>
      <c r="M108" s="3" t="inlineStr">
        <is>
          <t>2026-02-17</t>
        </is>
      </c>
      <c r="N108" s="3" t="inlineStr">
        <is>
          <t>J.Cranshaw</t>
        </is>
      </c>
      <c r="O108" s="3" t="inlineStr">
        <is>
          <t>2028-02-17</t>
        </is>
      </c>
      <c r="P108" s="3" t="inlineStr">
        <is>
          <t>EN</t>
        </is>
      </c>
      <c r="Q108" s="3" t="n">
        <v>4</v>
      </c>
      <c r="R108" s="3" t="n"/>
    </row>
    <row r="109" ht="40" customHeight="1">
      <c r="A109" s="6" t="inlineStr">
        <is>
          <t>P5-DBREF-001</t>
        </is>
      </c>
      <c r="B109" s="6" t="n">
        <v>5</v>
      </c>
      <c r="C109" s="6" t="inlineStr">
        <is>
          <t>5. Safe Advocacy &amp; Comms</t>
        </is>
      </c>
      <c r="D109" s="6" t="inlineStr">
        <is>
          <t>comms</t>
        </is>
      </c>
      <c r="E109" s="6" t="inlineStr">
        <is>
          <t>general</t>
        </is>
      </c>
      <c r="F109" s="14" t="inlineStr">
        <is>
          <t>DB-REF</t>
        </is>
      </c>
      <c r="G109" s="6" t="n">
        <v>1</v>
      </c>
      <c r="H109" s="6" t="inlineStr">
        <is>
          <t>Lorem ipsum dolor sit amet consectetur adipiscing elit sed do eiusmod tempor incididunt ut labore et dolore magna aliqua ut enim ad minim veniam quis nostrud exercitation ullamco laboris nisi</t>
        </is>
      </c>
      <c r="I109" s="6" t="n">
        <v>40</v>
      </c>
      <c r="J109" s="102">
        <f>IF(TRIM(H109)="",0,LEN(TRIM(H109))-LEN(SUBSTITUTE(TRIM(H109)," ",""))+1)</f>
        <v/>
      </c>
      <c r="K109" s="105">
        <f>IF(J109&gt;I109,"OVER ↑","✓")</f>
        <v/>
      </c>
      <c r="L109" s="6" t="inlineStr">
        <is>
          <t>HIGH-CHURN</t>
        </is>
      </c>
      <c r="M109" s="6" t="inlineStr">
        <is>
          <t>2026-02-17</t>
        </is>
      </c>
      <c r="N109" s="6" t="inlineStr">
        <is>
          <t>J.Cranshaw</t>
        </is>
      </c>
      <c r="O109" s="6" t="inlineStr">
        <is>
          <t>2027-02-17</t>
        </is>
      </c>
      <c r="P109" s="6" t="inlineStr">
        <is>
          <t>EN</t>
        </is>
      </c>
      <c r="Q109" s="6" t="n">
        <v>5</v>
      </c>
      <c r="R109" s="6" t="inlineStr">
        <is>
          <t>Do not copy Access Now content — it updates frequently. Link only.</t>
        </is>
      </c>
    </row>
    <row r="110" ht="40" customHeight="1">
      <c r="A110" s="3" t="inlineStr">
        <is>
          <t>P5-STEP-001</t>
        </is>
      </c>
      <c r="B110" s="3" t="n">
        <v>5</v>
      </c>
      <c r="C110" s="3" t="inlineStr">
        <is>
          <t>5. Safe Advocacy &amp; Comms</t>
        </is>
      </c>
      <c r="D110" s="3" t="inlineStr">
        <is>
          <t>comms</t>
        </is>
      </c>
      <c r="E110" s="3" t="inlineStr">
        <is>
          <t>general</t>
        </is>
      </c>
      <c r="F110" s="7" t="inlineStr">
        <is>
          <t>STEP</t>
        </is>
      </c>
      <c r="G110" s="3" t="n">
        <v>1</v>
      </c>
      <c r="H110" s="3" t="inlineStr">
        <is>
          <t>Lorem ipsum dolor sit amet consectetur adipiscing elit sed do eiusmod tempor incididunt ut labore et dolore magna</t>
        </is>
      </c>
      <c r="I110" s="3" t="n">
        <v>25</v>
      </c>
      <c r="J110" s="104">
        <f>IF(TRIM(H110)="",0,LEN(TRIM(H110))-LEN(SUBSTITUTE(TRIM(H110)," ",""))+1)</f>
        <v/>
      </c>
      <c r="K110" s="103">
        <f>IF(J110&gt;I110,"OVER ↑","✓")</f>
        <v/>
      </c>
      <c r="L110" s="3" t="inlineStr">
        <is>
          <t>STABLE</t>
        </is>
      </c>
      <c r="M110" s="3" t="inlineStr">
        <is>
          <t>2026-02-17</t>
        </is>
      </c>
      <c r="N110" s="3" t="inlineStr">
        <is>
          <t>J.Cranshaw</t>
        </is>
      </c>
      <c r="O110" s="3" t="inlineStr">
        <is>
          <t>2028-02-17</t>
        </is>
      </c>
      <c r="P110" s="3" t="inlineStr">
        <is>
          <t>EN</t>
        </is>
      </c>
      <c r="Q110" s="3" t="n">
        <v>6</v>
      </c>
      <c r="R110" s="3" t="n"/>
    </row>
    <row r="111" ht="40" customHeight="1">
      <c r="A111" s="6" t="inlineStr">
        <is>
          <t>P5-STEP-002</t>
        </is>
      </c>
      <c r="B111" s="6" t="n">
        <v>5</v>
      </c>
      <c r="C111" s="6" t="inlineStr">
        <is>
          <t>5. Safe Advocacy &amp; Comms</t>
        </is>
      </c>
      <c r="D111" s="6" t="inlineStr">
        <is>
          <t>comms</t>
        </is>
      </c>
      <c r="E111" s="6" t="inlineStr">
        <is>
          <t>general</t>
        </is>
      </c>
      <c r="F111" s="7" t="inlineStr">
        <is>
          <t>STEP</t>
        </is>
      </c>
      <c r="G111" s="6" t="n">
        <v>1</v>
      </c>
      <c r="H111" s="6" t="inlineStr">
        <is>
          <t>Lorem ipsum dolor sit amet consectetur adipiscing elit sed do eiusmod tempor incididunt ut labore et dolore magna</t>
        </is>
      </c>
      <c r="I111" s="6" t="n">
        <v>25</v>
      </c>
      <c r="J111" s="102">
        <f>IF(TRIM(H111)="",0,LEN(TRIM(H111))-LEN(SUBSTITUTE(TRIM(H111)," ",""))+1)</f>
        <v/>
      </c>
      <c r="K111" s="103">
        <f>IF(J111&gt;I111,"OVER ↑","✓")</f>
        <v/>
      </c>
      <c r="L111" s="6" t="inlineStr">
        <is>
          <t>STABLE</t>
        </is>
      </c>
      <c r="M111" s="6" t="inlineStr">
        <is>
          <t>2026-02-17</t>
        </is>
      </c>
      <c r="N111" s="6" t="inlineStr">
        <is>
          <t>J.Cranshaw</t>
        </is>
      </c>
      <c r="O111" s="6" t="inlineStr">
        <is>
          <t>2028-02-17</t>
        </is>
      </c>
      <c r="P111" s="6" t="inlineStr">
        <is>
          <t>EN</t>
        </is>
      </c>
      <c r="Q111" s="6" t="n">
        <v>7</v>
      </c>
      <c r="R111" s="6" t="n"/>
    </row>
    <row r="112" ht="40" customHeight="1">
      <c r="A112" s="3" t="inlineStr">
        <is>
          <t>P5-CHECKLIST-001</t>
        </is>
      </c>
      <c r="B112" s="3" t="n">
        <v>5</v>
      </c>
      <c r="C112" s="3" t="inlineStr">
        <is>
          <t>5. Safe Advocacy &amp; Comms</t>
        </is>
      </c>
      <c r="D112" s="3" t="inlineStr">
        <is>
          <t>comms</t>
        </is>
      </c>
      <c r="E112" s="3" t="inlineStr">
        <is>
          <t>general</t>
        </is>
      </c>
      <c r="F112" s="16" t="inlineStr">
        <is>
          <t>CHECKLIST</t>
        </is>
      </c>
      <c r="G112" s="3" t="n">
        <v>1</v>
      </c>
      <c r="H112" s="3" t="inlineStr">
        <is>
          <t>Lorem ipsum dolor sit amet consectetur adipiscing elit sed do eiusmod tempor incididunt ut labore</t>
        </is>
      </c>
      <c r="I112" s="3" t="n">
        <v>20</v>
      </c>
      <c r="J112" s="104">
        <f>IF(TRIM(H112)="",0,LEN(TRIM(H112))-LEN(SUBSTITUTE(TRIM(H112)," ",""))+1)</f>
        <v/>
      </c>
      <c r="K112" s="103">
        <f>IF(J112&gt;I112,"OVER ↑","✓")</f>
        <v/>
      </c>
      <c r="L112" s="3" t="inlineStr">
        <is>
          <t>STABLE</t>
        </is>
      </c>
      <c r="M112" s="3" t="inlineStr">
        <is>
          <t>2026-02-17</t>
        </is>
      </c>
      <c r="N112" s="3" t="inlineStr">
        <is>
          <t>J.Cranshaw</t>
        </is>
      </c>
      <c r="O112" s="3" t="inlineStr">
        <is>
          <t>2028-02-17</t>
        </is>
      </c>
      <c r="P112" s="3" t="inlineStr">
        <is>
          <t>EN</t>
        </is>
      </c>
      <c r="Q112" s="3" t="n">
        <v>8</v>
      </c>
      <c r="R112" s="3" t="n"/>
    </row>
    <row r="113" ht="40" customHeight="1">
      <c r="A113" s="6" t="inlineStr">
        <is>
          <t>P5-CHECKLIST-002</t>
        </is>
      </c>
      <c r="B113" s="6" t="n">
        <v>5</v>
      </c>
      <c r="C113" s="6" t="inlineStr">
        <is>
          <t>5. Safe Advocacy &amp; Comms</t>
        </is>
      </c>
      <c r="D113" s="6" t="inlineStr">
        <is>
          <t>comms</t>
        </is>
      </c>
      <c r="E113" s="6" t="inlineStr">
        <is>
          <t>general</t>
        </is>
      </c>
      <c r="F113" s="16" t="inlineStr">
        <is>
          <t>CHECKLIST</t>
        </is>
      </c>
      <c r="G113" s="6" t="n">
        <v>1</v>
      </c>
      <c r="H113" s="6" t="inlineStr">
        <is>
          <t>Lorem ipsum dolor sit amet consectetur adipiscing elit sed do eiusmod tempor incididunt ut labore</t>
        </is>
      </c>
      <c r="I113" s="6" t="n">
        <v>20</v>
      </c>
      <c r="J113" s="102">
        <f>IF(TRIM(H113)="",0,LEN(TRIM(H113))-LEN(SUBSTITUTE(TRIM(H113)," ",""))+1)</f>
        <v/>
      </c>
      <c r="K113" s="103">
        <f>IF(J113&gt;I113,"OVER ↑","✓")</f>
        <v/>
      </c>
      <c r="L113" s="6" t="inlineStr">
        <is>
          <t>STABLE</t>
        </is>
      </c>
      <c r="M113" s="6" t="inlineStr">
        <is>
          <t>2026-02-17</t>
        </is>
      </c>
      <c r="N113" s="6" t="inlineStr">
        <is>
          <t>J.Cranshaw</t>
        </is>
      </c>
      <c r="O113" s="6" t="inlineStr">
        <is>
          <t>2028-02-17</t>
        </is>
      </c>
      <c r="P113" s="6" t="inlineStr">
        <is>
          <t>EN</t>
        </is>
      </c>
      <c r="Q113" s="6" t="n">
        <v>9</v>
      </c>
      <c r="R113" s="6" t="n"/>
    </row>
    <row r="114" ht="40" customHeight="1">
      <c r="A114" s="3" t="inlineStr">
        <is>
          <t>P5-CHECKLIST-003</t>
        </is>
      </c>
      <c r="B114" s="3" t="n">
        <v>5</v>
      </c>
      <c r="C114" s="3" t="inlineStr">
        <is>
          <t>5. Safe Advocacy &amp; Comms</t>
        </is>
      </c>
      <c r="D114" s="3" t="inlineStr">
        <is>
          <t>comms</t>
        </is>
      </c>
      <c r="E114" s="3" t="inlineStr">
        <is>
          <t>general</t>
        </is>
      </c>
      <c r="F114" s="16" t="inlineStr">
        <is>
          <t>CHECKLIST</t>
        </is>
      </c>
      <c r="G114" s="3" t="n">
        <v>1</v>
      </c>
      <c r="H114" s="3" t="inlineStr">
        <is>
          <t>Lorem ipsum dolor sit amet consectetur adipiscing elit sed do eiusmod tempor incididunt ut labore</t>
        </is>
      </c>
      <c r="I114" s="3" t="n">
        <v>20</v>
      </c>
      <c r="J114" s="104">
        <f>IF(TRIM(H114)="",0,LEN(TRIM(H114))-LEN(SUBSTITUTE(TRIM(H114)," ",""))+1)</f>
        <v/>
      </c>
      <c r="K114" s="103">
        <f>IF(J114&gt;I114,"OVER ↑","✓")</f>
        <v/>
      </c>
      <c r="L114" s="3" t="inlineStr">
        <is>
          <t>STABLE</t>
        </is>
      </c>
      <c r="M114" s="3" t="inlineStr">
        <is>
          <t>2026-02-17</t>
        </is>
      </c>
      <c r="N114" s="3" t="inlineStr">
        <is>
          <t>J.Cranshaw</t>
        </is>
      </c>
      <c r="O114" s="3" t="inlineStr">
        <is>
          <t>2028-02-17</t>
        </is>
      </c>
      <c r="P114" s="3" t="inlineStr">
        <is>
          <t>EN</t>
        </is>
      </c>
      <c r="Q114" s="3" t="n">
        <v>10</v>
      </c>
      <c r="R114" s="3" t="n"/>
    </row>
    <row r="115" ht="40" customHeight="1">
      <c r="A115" s="6" t="inlineStr">
        <is>
          <t>P5-CHECKLIST-004</t>
        </is>
      </c>
      <c r="B115" s="6" t="n">
        <v>5</v>
      </c>
      <c r="C115" s="6" t="inlineStr">
        <is>
          <t>5. Safe Advocacy &amp; Comms</t>
        </is>
      </c>
      <c r="D115" s="6" t="inlineStr">
        <is>
          <t>comms</t>
        </is>
      </c>
      <c r="E115" s="6" t="inlineStr">
        <is>
          <t>general</t>
        </is>
      </c>
      <c r="F115" s="16" t="inlineStr">
        <is>
          <t>CHECKLIST</t>
        </is>
      </c>
      <c r="G115" s="6" t="n">
        <v>1</v>
      </c>
      <c r="H115" s="6" t="inlineStr">
        <is>
          <t>Lorem ipsum dolor sit amet consectetur adipiscing elit sed do eiusmod tempor incididunt ut labore</t>
        </is>
      </c>
      <c r="I115" s="6" t="n">
        <v>20</v>
      </c>
      <c r="J115" s="102">
        <f>IF(TRIM(H115)="",0,LEN(TRIM(H115))-LEN(SUBSTITUTE(TRIM(H115)," ",""))+1)</f>
        <v/>
      </c>
      <c r="K115" s="103">
        <f>IF(J115&gt;I115,"OVER ↑","✓")</f>
        <v/>
      </c>
      <c r="L115" s="6" t="inlineStr">
        <is>
          <t>STABLE</t>
        </is>
      </c>
      <c r="M115" s="6" t="inlineStr">
        <is>
          <t>2026-02-17</t>
        </is>
      </c>
      <c r="N115" s="6" t="inlineStr">
        <is>
          <t>J.Cranshaw</t>
        </is>
      </c>
      <c r="O115" s="6" t="inlineStr">
        <is>
          <t>2028-02-17</t>
        </is>
      </c>
      <c r="P115" s="6" t="inlineStr">
        <is>
          <t>EN</t>
        </is>
      </c>
      <c r="Q115" s="6" t="n">
        <v>11</v>
      </c>
      <c r="R115" s="6" t="n"/>
    </row>
    <row r="116" ht="40" customHeight="1">
      <c r="A116" s="3" t="inlineStr">
        <is>
          <t>P5-TIP-001</t>
        </is>
      </c>
      <c r="B116" s="3" t="n">
        <v>5</v>
      </c>
      <c r="C116" s="3" t="inlineStr">
        <is>
          <t>5. Safe Advocacy &amp; Comms</t>
        </is>
      </c>
      <c r="D116" s="3" t="inlineStr">
        <is>
          <t>comms</t>
        </is>
      </c>
      <c r="E116" s="3" t="inlineStr">
        <is>
          <t>general</t>
        </is>
      </c>
      <c r="F116" s="9" t="inlineStr">
        <is>
          <t>TIP</t>
        </is>
      </c>
      <c r="G116" s="3" t="n">
        <v>1</v>
      </c>
      <c r="H116" s="3" t="inlineStr">
        <is>
          <t>Lorem ipsum dolor sit amet consectetur adipiscing elit sed do eiusmod tempor incididunt ut labore et dolore magna aliqua ut enim ad minim veniam quis nostrud</t>
        </is>
      </c>
      <c r="I116" s="3" t="n">
        <v>35</v>
      </c>
      <c r="J116" s="104">
        <f>IF(TRIM(H116)="",0,LEN(TRIM(H116))-LEN(SUBSTITUTE(TRIM(H116)," ",""))+1)</f>
        <v/>
      </c>
      <c r="K116" s="103">
        <f>IF(J116&gt;I116,"OVER ↑","✓")</f>
        <v/>
      </c>
      <c r="L116" s="3" t="inlineStr">
        <is>
          <t>STABLE</t>
        </is>
      </c>
      <c r="M116" s="3" t="inlineStr">
        <is>
          <t>2026-02-17</t>
        </is>
      </c>
      <c r="N116" s="3" t="inlineStr">
        <is>
          <t>J.Cranshaw</t>
        </is>
      </c>
      <c r="O116" s="3" t="inlineStr">
        <is>
          <t>2028-02-17</t>
        </is>
      </c>
      <c r="P116" s="3" t="inlineStr">
        <is>
          <t>EN</t>
        </is>
      </c>
      <c r="Q116" s="3" t="n">
        <v>12</v>
      </c>
      <c r="R116" s="3" t="n"/>
    </row>
    <row r="117" ht="40" customHeight="1">
      <c r="A117" s="6" t="inlineStr">
        <is>
          <t>P6-SUB-PRE</t>
        </is>
      </c>
      <c r="B117" s="6" t="n">
        <v>6</v>
      </c>
      <c r="C117" s="6" t="inlineStr">
        <is>
          <t>6. Diversification &amp; Mutualisation</t>
        </is>
      </c>
      <c r="D117" s="6" t="inlineStr">
        <is>
          <t>diversification</t>
        </is>
      </c>
      <c r="E117" s="6" t="inlineStr">
        <is>
          <t>preemptive</t>
        </is>
      </c>
      <c r="F117" s="45" t="inlineStr">
        <is>
          <t>SUBSECTION</t>
        </is>
      </c>
      <c r="G117" s="6" t="n">
        <v>1</v>
      </c>
      <c r="H117" s="6" t="inlineStr">
        <is>
          <t>Lorem ipsum dolor sit amet consectetur adipiscing elit sed</t>
        </is>
      </c>
      <c r="I117" s="6" t="n">
        <v>12</v>
      </c>
      <c r="J117" s="102">
        <f>IF(TRIM(H117)="",0,LEN(TRIM(H117))-LEN(SUBSTITUTE(TRIM(H117)," ",""))+1)</f>
        <v/>
      </c>
      <c r="K117" s="103">
        <f>IF(J117&gt;I117,"OVER ↑","✓")</f>
        <v/>
      </c>
      <c r="L117" s="6" t="inlineStr">
        <is>
          <t>STABLE</t>
        </is>
      </c>
      <c r="M117" s="6" t="inlineStr">
        <is>
          <t>2026-02-17</t>
        </is>
      </c>
      <c r="N117" s="6" t="inlineStr">
        <is>
          <t>J.Cranshaw</t>
        </is>
      </c>
      <c r="O117" s="6" t="inlineStr">
        <is>
          <t>2028-02-17</t>
        </is>
      </c>
      <c r="P117" s="6" t="inlineStr">
        <is>
          <t>EN</t>
        </is>
      </c>
      <c r="Q117" s="6" t="n">
        <v>0</v>
      </c>
      <c r="R117" s="6" t="n"/>
    </row>
    <row r="118" ht="40" customHeight="1">
      <c r="A118" s="3" t="inlineStr">
        <is>
          <t>P6-PRE-001</t>
        </is>
      </c>
      <c r="B118" s="3" t="n">
        <v>6</v>
      </c>
      <c r="C118" s="3" t="inlineStr">
        <is>
          <t>6. Diversification &amp; Mutualisation</t>
        </is>
      </c>
      <c r="D118" s="3" t="inlineStr">
        <is>
          <t>diversification</t>
        </is>
      </c>
      <c r="E118" s="3" t="inlineStr">
        <is>
          <t>preemptive</t>
        </is>
      </c>
      <c r="F118" s="7" t="inlineStr">
        <is>
          <t>STEP</t>
        </is>
      </c>
      <c r="G118" s="3" t="n">
        <v>1</v>
      </c>
      <c r="H118" s="3" t="inlineStr">
        <is>
          <t>Lorem ipsum dolor sit amet consectetur adipiscing elit sed do eiusmod tempor incididunt ut labore et dolore magna</t>
        </is>
      </c>
      <c r="I118" s="3" t="n">
        <v>25</v>
      </c>
      <c r="J118" s="104">
        <f>IF(TRIM(H118)="",0,LEN(TRIM(H118))-LEN(SUBSTITUTE(TRIM(H118)," ",""))+1)</f>
        <v/>
      </c>
      <c r="K118" s="103">
        <f>IF(J118&gt;I118,"OVER ↑","✓")</f>
        <v/>
      </c>
      <c r="L118" s="3" t="inlineStr">
        <is>
          <t>STABLE</t>
        </is>
      </c>
      <c r="M118" s="3" t="inlineStr">
        <is>
          <t>2026-02-17</t>
        </is>
      </c>
      <c r="N118" s="3" t="inlineStr">
        <is>
          <t>J.Cranshaw</t>
        </is>
      </c>
      <c r="O118" s="3" t="inlineStr">
        <is>
          <t>2028-02-17</t>
        </is>
      </c>
      <c r="P118" s="3" t="inlineStr">
        <is>
          <t>EN</t>
        </is>
      </c>
      <c r="Q118" s="3" t="n">
        <v>1</v>
      </c>
      <c r="R118" s="3" t="n"/>
    </row>
    <row r="119" ht="40" customHeight="1">
      <c r="A119" s="6" t="inlineStr">
        <is>
          <t>P6-PRE-002</t>
        </is>
      </c>
      <c r="B119" s="6" t="n">
        <v>6</v>
      </c>
      <c r="C119" s="6" t="inlineStr">
        <is>
          <t>6. Diversification &amp; Mutualisation</t>
        </is>
      </c>
      <c r="D119" s="6" t="inlineStr">
        <is>
          <t>diversification</t>
        </is>
      </c>
      <c r="E119" s="6" t="inlineStr">
        <is>
          <t>preemptive</t>
        </is>
      </c>
      <c r="F119" s="7" t="inlineStr">
        <is>
          <t>STEP</t>
        </is>
      </c>
      <c r="G119" s="6" t="n">
        <v>1</v>
      </c>
      <c r="H119" s="6" t="inlineStr">
        <is>
          <t>Lorem ipsum dolor sit amet consectetur adipiscing elit sed do eiusmod tempor incididunt ut labore et dolore magna</t>
        </is>
      </c>
      <c r="I119" s="6" t="n">
        <v>25</v>
      </c>
      <c r="J119" s="102">
        <f>IF(TRIM(H119)="",0,LEN(TRIM(H119))-LEN(SUBSTITUTE(TRIM(H119)," ",""))+1)</f>
        <v/>
      </c>
      <c r="K119" s="103">
        <f>IF(J119&gt;I119,"OVER ↑","✓")</f>
        <v/>
      </c>
      <c r="L119" s="6" t="inlineStr">
        <is>
          <t>STABLE</t>
        </is>
      </c>
      <c r="M119" s="6" t="inlineStr">
        <is>
          <t>2026-02-17</t>
        </is>
      </c>
      <c r="N119" s="6" t="inlineStr">
        <is>
          <t>J.Cranshaw</t>
        </is>
      </c>
      <c r="O119" s="6" t="inlineStr">
        <is>
          <t>2028-02-17</t>
        </is>
      </c>
      <c r="P119" s="6" t="inlineStr">
        <is>
          <t>EN</t>
        </is>
      </c>
      <c r="Q119" s="6" t="n">
        <v>2</v>
      </c>
      <c r="R119" s="6" t="n"/>
    </row>
    <row r="120" ht="40" customHeight="1">
      <c r="A120" s="3" t="inlineStr">
        <is>
          <t>P6-INTRO-001</t>
        </is>
      </c>
      <c r="B120" s="3" t="n">
        <v>6</v>
      </c>
      <c r="C120" s="3" t="inlineStr">
        <is>
          <t>6. Diversification &amp; Mutualisation</t>
        </is>
      </c>
      <c r="D120" s="3" t="inlineStr">
        <is>
          <t>diversification</t>
        </is>
      </c>
      <c r="E120" s="3" t="inlineStr">
        <is>
          <t>general</t>
        </is>
      </c>
      <c r="F120" s="4" t="inlineStr">
        <is>
          <t>INTRO</t>
        </is>
      </c>
      <c r="G120" s="3" t="n">
        <v>1</v>
      </c>
      <c r="H120" s="3"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t>
        </is>
      </c>
      <c r="I120" s="3" t="n">
        <v>60</v>
      </c>
      <c r="J120" s="104">
        <f>IF(TRIM(H120)="",0,LEN(TRIM(H120))-LEN(SUBSTITUTE(TRIM(H120)," ",""))+1)</f>
        <v/>
      </c>
      <c r="K120" s="105">
        <f>IF(J120&gt;I120,"OVER ↑","✓")</f>
        <v/>
      </c>
      <c r="L120" s="3" t="inlineStr">
        <is>
          <t>STABLE</t>
        </is>
      </c>
      <c r="M120" s="3" t="inlineStr">
        <is>
          <t>2026-02-17</t>
        </is>
      </c>
      <c r="N120" s="3" t="inlineStr">
        <is>
          <t>J.Cranshaw</t>
        </is>
      </c>
      <c r="O120" s="3" t="inlineStr">
        <is>
          <t>2028-02-17</t>
        </is>
      </c>
      <c r="P120" s="3" t="inlineStr">
        <is>
          <t>EN</t>
        </is>
      </c>
      <c r="Q120" s="3" t="n">
        <v>1</v>
      </c>
      <c r="R120" s="3" t="n"/>
    </row>
    <row r="121" ht="40" customHeight="1">
      <c r="A121" s="6" t="inlineStr">
        <is>
          <t>P6-CHECKLIST-001</t>
        </is>
      </c>
      <c r="B121" s="6" t="n">
        <v>6</v>
      </c>
      <c r="C121" s="6" t="inlineStr">
        <is>
          <t>6. Diversification &amp; Mutualisation</t>
        </is>
      </c>
      <c r="D121" s="6" t="inlineStr">
        <is>
          <t>diversification</t>
        </is>
      </c>
      <c r="E121" s="6" t="inlineStr">
        <is>
          <t>general</t>
        </is>
      </c>
      <c r="F121" s="16" t="inlineStr">
        <is>
          <t>CHECKLIST</t>
        </is>
      </c>
      <c r="G121" s="6" t="n">
        <v>1</v>
      </c>
      <c r="H121" s="6" t="inlineStr">
        <is>
          <t>Lorem ipsum dolor sit amet consectetur adipiscing elit sed do eiusmod tempor incididunt ut labore</t>
        </is>
      </c>
      <c r="I121" s="6" t="n">
        <v>20</v>
      </c>
      <c r="J121" s="102">
        <f>IF(TRIM(H121)="",0,LEN(TRIM(H121))-LEN(SUBSTITUTE(TRIM(H121)," ",""))+1)</f>
        <v/>
      </c>
      <c r="K121" s="105">
        <f>IF(J121&gt;I121,"OVER ↑","✓")</f>
        <v/>
      </c>
      <c r="L121" s="6" t="inlineStr">
        <is>
          <t>STABLE</t>
        </is>
      </c>
      <c r="M121" s="6" t="inlineStr">
        <is>
          <t>2026-02-17</t>
        </is>
      </c>
      <c r="N121" s="6" t="inlineStr">
        <is>
          <t>J.Cranshaw</t>
        </is>
      </c>
      <c r="O121" s="6" t="inlineStr">
        <is>
          <t>2028-02-17</t>
        </is>
      </c>
      <c r="P121" s="6" t="inlineStr">
        <is>
          <t>EN</t>
        </is>
      </c>
      <c r="Q121" s="6" t="n">
        <v>2</v>
      </c>
      <c r="R121" s="6" t="n"/>
    </row>
    <row r="122" ht="40" customHeight="1">
      <c r="A122" s="3" t="inlineStr">
        <is>
          <t>P6-CHECKLIST-002</t>
        </is>
      </c>
      <c r="B122" s="3" t="n">
        <v>6</v>
      </c>
      <c r="C122" s="3" t="inlineStr">
        <is>
          <t>6. Diversification &amp; Mutualisation</t>
        </is>
      </c>
      <c r="D122" s="3" t="inlineStr">
        <is>
          <t>diversification</t>
        </is>
      </c>
      <c r="E122" s="3" t="inlineStr">
        <is>
          <t>general</t>
        </is>
      </c>
      <c r="F122" s="16" t="inlineStr">
        <is>
          <t>CHECKLIST</t>
        </is>
      </c>
      <c r="G122" s="3" t="n">
        <v>1</v>
      </c>
      <c r="H122" s="3" t="inlineStr">
        <is>
          <t>Lorem ipsum dolor sit amet consectetur adipiscing elit sed do eiusmod tempor incididunt ut labore</t>
        </is>
      </c>
      <c r="I122" s="3" t="n">
        <v>20</v>
      </c>
      <c r="J122" s="104">
        <f>IF(TRIM(H122)="",0,LEN(TRIM(H122))-LEN(SUBSTITUTE(TRIM(H122)," ",""))+1)</f>
        <v/>
      </c>
      <c r="K122" s="105">
        <f>IF(J122&gt;I122,"OVER ↑","✓")</f>
        <v/>
      </c>
      <c r="L122" s="3" t="inlineStr">
        <is>
          <t>STABLE</t>
        </is>
      </c>
      <c r="M122" s="3" t="inlineStr">
        <is>
          <t>2026-02-17</t>
        </is>
      </c>
      <c r="N122" s="3" t="inlineStr">
        <is>
          <t>J.Cranshaw</t>
        </is>
      </c>
      <c r="O122" s="3" t="inlineStr">
        <is>
          <t>2028-02-17</t>
        </is>
      </c>
      <c r="P122" s="3" t="inlineStr">
        <is>
          <t>EN</t>
        </is>
      </c>
      <c r="Q122" s="3" t="n">
        <v>3</v>
      </c>
      <c r="R122" s="3" t="n"/>
    </row>
    <row r="123" ht="40" customHeight="1">
      <c r="A123" s="6" t="inlineStr">
        <is>
          <t>P6-CHECKLIST-003</t>
        </is>
      </c>
      <c r="B123" s="6" t="n">
        <v>6</v>
      </c>
      <c r="C123" s="6" t="inlineStr">
        <is>
          <t>6. Diversification &amp; Mutualisation</t>
        </is>
      </c>
      <c r="D123" s="6" t="inlineStr">
        <is>
          <t>diversification</t>
        </is>
      </c>
      <c r="E123" s="6" t="inlineStr">
        <is>
          <t>general</t>
        </is>
      </c>
      <c r="F123" s="16" t="inlineStr">
        <is>
          <t>CHECKLIST</t>
        </is>
      </c>
      <c r="G123" s="6" t="n">
        <v>1</v>
      </c>
      <c r="H123" s="6" t="inlineStr">
        <is>
          <t>Lorem ipsum dolor sit amet consectetur adipiscing elit sed do eiusmod tempor incididunt ut labore</t>
        </is>
      </c>
      <c r="I123" s="6" t="n">
        <v>20</v>
      </c>
      <c r="J123" s="102">
        <f>IF(TRIM(H123)="",0,LEN(TRIM(H123))-LEN(SUBSTITUTE(TRIM(H123)," ",""))+1)</f>
        <v/>
      </c>
      <c r="K123" s="105">
        <f>IF(J123&gt;I123,"OVER ↑","✓")</f>
        <v/>
      </c>
      <c r="L123" s="6" t="inlineStr">
        <is>
          <t>STABLE</t>
        </is>
      </c>
      <c r="M123" s="6" t="inlineStr">
        <is>
          <t>2026-02-17</t>
        </is>
      </c>
      <c r="N123" s="6" t="inlineStr">
        <is>
          <t>J.Cranshaw</t>
        </is>
      </c>
      <c r="O123" s="6" t="inlineStr">
        <is>
          <t>2028-02-17</t>
        </is>
      </c>
      <c r="P123" s="6" t="inlineStr">
        <is>
          <t>EN</t>
        </is>
      </c>
      <c r="Q123" s="6" t="n">
        <v>4</v>
      </c>
      <c r="R123" s="6" t="n"/>
    </row>
    <row r="124" ht="40" customHeight="1">
      <c r="A124" s="3" t="inlineStr">
        <is>
          <t>P6-CASE-001</t>
        </is>
      </c>
      <c r="B124" s="3" t="n">
        <v>6</v>
      </c>
      <c r="C124" s="3" t="inlineStr">
        <is>
          <t>6. Diversification &amp; Mutualisation</t>
        </is>
      </c>
      <c r="D124" s="3" t="inlineStr">
        <is>
          <t>diversification</t>
        </is>
      </c>
      <c r="E124" s="3" t="inlineStr">
        <is>
          <t>general</t>
        </is>
      </c>
      <c r="F124" s="17" t="inlineStr">
        <is>
          <t>CASE</t>
        </is>
      </c>
      <c r="G124" s="3" t="n">
        <v>1</v>
      </c>
      <c r="H124" s="3"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t>
        </is>
      </c>
      <c r="I124" s="3" t="n">
        <v>80</v>
      </c>
      <c r="J124" s="104">
        <f>IF(TRIM(H124)="",0,LEN(TRIM(H124))-LEN(SUBSTITUTE(TRIM(H124)," ",""))+1)</f>
        <v/>
      </c>
      <c r="K124" s="105">
        <f>IF(J124&gt;I124,"OVER ↑","✓")</f>
        <v/>
      </c>
      <c r="L124" s="3" t="inlineStr">
        <is>
          <t>STABLE</t>
        </is>
      </c>
      <c r="M124" s="3" t="inlineStr">
        <is>
          <t>2026-02-17</t>
        </is>
      </c>
      <c r="N124" s="3" t="inlineStr">
        <is>
          <t>J.Cranshaw</t>
        </is>
      </c>
      <c r="O124" s="3" t="inlineStr">
        <is>
          <t>2028-02-17</t>
        </is>
      </c>
      <c r="P124" s="3" t="inlineStr">
        <is>
          <t>EN</t>
        </is>
      </c>
      <c r="Q124" s="3" t="n">
        <v>5</v>
      </c>
      <c r="R124" s="3" t="inlineStr">
        <is>
          <t>Sensitivity 1 — anonymised, can be shared publicly</t>
        </is>
      </c>
    </row>
    <row r="125" ht="40" customHeight="1">
      <c r="A125" s="6" t="inlineStr">
        <is>
          <t>P6-DECISION-001</t>
        </is>
      </c>
      <c r="B125" s="6" t="n">
        <v>6</v>
      </c>
      <c r="C125" s="6" t="inlineStr">
        <is>
          <t>6. Diversification &amp; Mutualisation</t>
        </is>
      </c>
      <c r="D125" s="6" t="inlineStr">
        <is>
          <t>diversification</t>
        </is>
      </c>
      <c r="E125" s="6" t="inlineStr">
        <is>
          <t>general</t>
        </is>
      </c>
      <c r="F125" s="12" t="inlineStr">
        <is>
          <t>DECISION-Q</t>
        </is>
      </c>
      <c r="G125" s="6" t="n">
        <v>1</v>
      </c>
      <c r="H125" s="6" t="inlineStr">
        <is>
          <t>Lorem ipsum dolor sit amet consectetur adipiscing elit sed do eiusmod tempor incididunt ut labore</t>
        </is>
      </c>
      <c r="I125" s="6" t="n">
        <v>20</v>
      </c>
      <c r="J125" s="102">
        <f>IF(TRIM(H125)="",0,LEN(TRIM(H125))-LEN(SUBSTITUTE(TRIM(H125)," ",""))+1)</f>
        <v/>
      </c>
      <c r="K125" s="103">
        <f>IF(J125&gt;I125,"OVER ↑","✓")</f>
        <v/>
      </c>
      <c r="L125" s="6" t="inlineStr">
        <is>
          <t>STABLE</t>
        </is>
      </c>
      <c r="M125" s="6" t="inlineStr">
        <is>
          <t>2026-02-17</t>
        </is>
      </c>
      <c r="N125" s="6" t="inlineStr">
        <is>
          <t>J.Cranshaw</t>
        </is>
      </c>
      <c r="O125" s="6" t="inlineStr">
        <is>
          <t>2028-02-17</t>
        </is>
      </c>
      <c r="P125" s="6" t="inlineStr">
        <is>
          <t>EN</t>
        </is>
      </c>
      <c r="Q125" s="6" t="n">
        <v>6</v>
      </c>
      <c r="R125" s="6" t="n"/>
    </row>
    <row r="126" ht="40" customHeight="1">
      <c r="A126" s="3" t="inlineStr">
        <is>
          <t>P6-DECISION-002</t>
        </is>
      </c>
      <c r="B126" s="3" t="n">
        <v>6</v>
      </c>
      <c r="C126" s="3" t="inlineStr">
        <is>
          <t>6. Diversification &amp; Mutualisation</t>
        </is>
      </c>
      <c r="D126" s="3" t="inlineStr">
        <is>
          <t>diversification</t>
        </is>
      </c>
      <c r="E126" s="3" t="inlineStr">
        <is>
          <t>general</t>
        </is>
      </c>
      <c r="F126" s="13" t="inlineStr">
        <is>
          <t>DECISION-A</t>
        </is>
      </c>
      <c r="G126" s="3" t="n">
        <v>1</v>
      </c>
      <c r="H126" s="3" t="inlineStr">
        <is>
          <t>Lorem ipsum dolor sit amet consectetur</t>
        </is>
      </c>
      <c r="I126" s="3" t="n">
        <v>8</v>
      </c>
      <c r="J126" s="104">
        <f>IF(TRIM(H126)="",0,LEN(TRIM(H126))-LEN(SUBSTITUTE(TRIM(H126)," ",""))+1)</f>
        <v/>
      </c>
      <c r="K126" s="103">
        <f>IF(J126&gt;I126,"OVER ↑","✓")</f>
        <v/>
      </c>
      <c r="L126" s="3" t="inlineStr">
        <is>
          <t>STABLE</t>
        </is>
      </c>
      <c r="M126" s="3" t="inlineStr">
        <is>
          <t>2026-02-17</t>
        </is>
      </c>
      <c r="N126" s="3" t="inlineStr">
        <is>
          <t>J.Cranshaw</t>
        </is>
      </c>
      <c r="O126" s="3" t="inlineStr">
        <is>
          <t>2028-02-17</t>
        </is>
      </c>
      <c r="P126" s="3" t="inlineStr">
        <is>
          <t>EN</t>
        </is>
      </c>
      <c r="Q126" s="3" t="n">
        <v>7</v>
      </c>
      <c r="R126" s="3" t="n"/>
    </row>
    <row r="127" ht="40" customHeight="1">
      <c r="A127" s="6" t="inlineStr">
        <is>
          <t>P6-DECISION-003</t>
        </is>
      </c>
      <c r="B127" s="6" t="n">
        <v>6</v>
      </c>
      <c r="C127" s="6" t="inlineStr">
        <is>
          <t>6. Diversification &amp; Mutualisation</t>
        </is>
      </c>
      <c r="D127" s="6" t="inlineStr">
        <is>
          <t>diversification</t>
        </is>
      </c>
      <c r="E127" s="6" t="inlineStr">
        <is>
          <t>general</t>
        </is>
      </c>
      <c r="F127" s="13" t="inlineStr">
        <is>
          <t>DECISION-A</t>
        </is>
      </c>
      <c r="G127" s="6" t="n">
        <v>1</v>
      </c>
      <c r="H127" s="6" t="inlineStr">
        <is>
          <t>Lorem ipsum dolor sit amet consectetur</t>
        </is>
      </c>
      <c r="I127" s="6" t="n">
        <v>8</v>
      </c>
      <c r="J127" s="102">
        <f>IF(TRIM(H127)="",0,LEN(TRIM(H127))-LEN(SUBSTITUTE(TRIM(H127)," ",""))+1)</f>
        <v/>
      </c>
      <c r="K127" s="103">
        <f>IF(J127&gt;I127,"OVER ↑","✓")</f>
        <v/>
      </c>
      <c r="L127" s="6" t="inlineStr">
        <is>
          <t>STABLE</t>
        </is>
      </c>
      <c r="M127" s="6" t="inlineStr">
        <is>
          <t>2026-02-17</t>
        </is>
      </c>
      <c r="N127" s="6" t="inlineStr">
        <is>
          <t>J.Cranshaw</t>
        </is>
      </c>
      <c r="O127" s="6" t="inlineStr">
        <is>
          <t>2028-02-17</t>
        </is>
      </c>
      <c r="P127" s="6" t="inlineStr">
        <is>
          <t>EN</t>
        </is>
      </c>
      <c r="Q127" s="6" t="n">
        <v>8</v>
      </c>
      <c r="R127" s="6" t="n"/>
    </row>
    <row r="128" ht="40" customHeight="1">
      <c r="A128" s="3" t="inlineStr">
        <is>
          <t>P6-STEP-001</t>
        </is>
      </c>
      <c r="B128" s="3" t="n">
        <v>6</v>
      </c>
      <c r="C128" s="3" t="inlineStr">
        <is>
          <t>6. Diversification &amp; Mutualisation</t>
        </is>
      </c>
      <c r="D128" s="3" t="inlineStr">
        <is>
          <t>diversification</t>
        </is>
      </c>
      <c r="E128" s="3" t="inlineStr">
        <is>
          <t>general</t>
        </is>
      </c>
      <c r="F128" s="7" t="inlineStr">
        <is>
          <t>STEP</t>
        </is>
      </c>
      <c r="G128" s="3" t="n">
        <v>1</v>
      </c>
      <c r="H128" s="3" t="inlineStr">
        <is>
          <t>Lorem ipsum dolor sit amet consectetur adipiscing elit sed do eiusmod tempor incididunt ut labore et dolore magna</t>
        </is>
      </c>
      <c r="I128" s="3" t="n">
        <v>25</v>
      </c>
      <c r="J128" s="104">
        <f>IF(TRIM(H128)="",0,LEN(TRIM(H128))-LEN(SUBSTITUTE(TRIM(H128)," ",""))+1)</f>
        <v/>
      </c>
      <c r="K128" s="103">
        <f>IF(J128&gt;I128,"OVER ↑","✓")</f>
        <v/>
      </c>
      <c r="L128" s="3" t="inlineStr">
        <is>
          <t>STABLE</t>
        </is>
      </c>
      <c r="M128" s="3" t="inlineStr">
        <is>
          <t>2026-02-17</t>
        </is>
      </c>
      <c r="N128" s="3" t="inlineStr">
        <is>
          <t>J.Cranshaw</t>
        </is>
      </c>
      <c r="O128" s="3" t="inlineStr">
        <is>
          <t>2028-02-17</t>
        </is>
      </c>
      <c r="P128" s="3" t="inlineStr">
        <is>
          <t>EN</t>
        </is>
      </c>
      <c r="Q128" s="3" t="n">
        <v>9</v>
      </c>
      <c r="R128" s="3" t="n"/>
    </row>
    <row r="129" ht="40" customHeight="1">
      <c r="A129" s="6" t="inlineStr">
        <is>
          <t>P6-CHECKLIST-004</t>
        </is>
      </c>
      <c r="B129" s="6" t="n">
        <v>6</v>
      </c>
      <c r="C129" s="6" t="inlineStr">
        <is>
          <t>6. Diversification &amp; Mutualisation</t>
        </is>
      </c>
      <c r="D129" s="6" t="inlineStr">
        <is>
          <t>diversification</t>
        </is>
      </c>
      <c r="E129" s="6" t="inlineStr">
        <is>
          <t>general</t>
        </is>
      </c>
      <c r="F129" s="16" t="inlineStr">
        <is>
          <t>CHECKLIST</t>
        </is>
      </c>
      <c r="G129" s="6" t="n">
        <v>1</v>
      </c>
      <c r="H129" s="6" t="inlineStr">
        <is>
          <t>Lorem ipsum dolor sit amet consectetur adipiscing elit sed do eiusmod tempor incididunt ut labore</t>
        </is>
      </c>
      <c r="I129" s="6" t="n">
        <v>20</v>
      </c>
      <c r="J129" s="102">
        <f>IF(TRIM(H129)="",0,LEN(TRIM(H129))-LEN(SUBSTITUTE(TRIM(H129)," ",""))+1)</f>
        <v/>
      </c>
      <c r="K129" s="103">
        <f>IF(J129&gt;I129,"OVER ↑","✓")</f>
        <v/>
      </c>
      <c r="L129" s="6" t="inlineStr">
        <is>
          <t>STABLE</t>
        </is>
      </c>
      <c r="M129" s="6" t="inlineStr">
        <is>
          <t>2026-02-17</t>
        </is>
      </c>
      <c r="N129" s="6" t="inlineStr">
        <is>
          <t>J.Cranshaw</t>
        </is>
      </c>
      <c r="O129" s="6" t="inlineStr">
        <is>
          <t>2028-02-17</t>
        </is>
      </c>
      <c r="P129" s="6" t="inlineStr">
        <is>
          <t>EN</t>
        </is>
      </c>
      <c r="Q129" s="6" t="n">
        <v>10</v>
      </c>
      <c r="R129" s="6" t="n"/>
    </row>
    <row r="130" ht="40" customHeight="1">
      <c r="A130" s="3" t="inlineStr">
        <is>
          <t>P6-CHECKLIST-005</t>
        </is>
      </c>
      <c r="B130" s="3" t="n">
        <v>6</v>
      </c>
      <c r="C130" s="3" t="inlineStr">
        <is>
          <t>6. Diversification &amp; Mutualisation</t>
        </is>
      </c>
      <c r="D130" s="3" t="inlineStr">
        <is>
          <t>diversification</t>
        </is>
      </c>
      <c r="E130" s="3" t="inlineStr">
        <is>
          <t>general</t>
        </is>
      </c>
      <c r="F130" s="16" t="inlineStr">
        <is>
          <t>CHECKLIST</t>
        </is>
      </c>
      <c r="G130" s="3" t="n">
        <v>1</v>
      </c>
      <c r="H130" s="3" t="inlineStr">
        <is>
          <t>Lorem ipsum dolor sit amet consectetur adipiscing elit sed do eiusmod tempor incididunt ut labore</t>
        </is>
      </c>
      <c r="I130" s="3" t="n">
        <v>20</v>
      </c>
      <c r="J130" s="104">
        <f>IF(TRIM(H130)="",0,LEN(TRIM(H130))-LEN(SUBSTITUTE(TRIM(H130)," ",""))+1)</f>
        <v/>
      </c>
      <c r="K130" s="103">
        <f>IF(J130&gt;I130,"OVER ↑","✓")</f>
        <v/>
      </c>
      <c r="L130" s="3" t="inlineStr">
        <is>
          <t>STABLE</t>
        </is>
      </c>
      <c r="M130" s="3" t="inlineStr">
        <is>
          <t>2026-02-17</t>
        </is>
      </c>
      <c r="N130" s="3" t="inlineStr">
        <is>
          <t>J.Cranshaw</t>
        </is>
      </c>
      <c r="O130" s="3" t="inlineStr">
        <is>
          <t>2028-02-17</t>
        </is>
      </c>
      <c r="P130" s="3" t="inlineStr">
        <is>
          <t>EN</t>
        </is>
      </c>
      <c r="Q130" s="3" t="n">
        <v>11</v>
      </c>
      <c r="R130" s="3" t="n"/>
    </row>
    <row r="131" ht="40" customHeight="1">
      <c r="A131" s="6" t="inlineStr">
        <is>
          <t>P6-CHECKLIST-006</t>
        </is>
      </c>
      <c r="B131" s="6" t="n">
        <v>6</v>
      </c>
      <c r="C131" s="6" t="inlineStr">
        <is>
          <t>6. Diversification &amp; Mutualisation</t>
        </is>
      </c>
      <c r="D131" s="6" t="inlineStr">
        <is>
          <t>diversification</t>
        </is>
      </c>
      <c r="E131" s="6" t="inlineStr">
        <is>
          <t>general</t>
        </is>
      </c>
      <c r="F131" s="16" t="inlineStr">
        <is>
          <t>CHECKLIST</t>
        </is>
      </c>
      <c r="G131" s="6" t="n">
        <v>1</v>
      </c>
      <c r="H131" s="6" t="inlineStr">
        <is>
          <t>Lorem ipsum dolor sit amet consectetur adipiscing elit sed do eiusmod tempor incididunt ut labore</t>
        </is>
      </c>
      <c r="I131" s="6" t="n">
        <v>20</v>
      </c>
      <c r="J131" s="102">
        <f>IF(TRIM(H131)="",0,LEN(TRIM(H131))-LEN(SUBSTITUTE(TRIM(H131)," ",""))+1)</f>
        <v/>
      </c>
      <c r="K131" s="103">
        <f>IF(J131&gt;I131,"OVER ↑","✓")</f>
        <v/>
      </c>
      <c r="L131" s="6" t="inlineStr">
        <is>
          <t>STABLE</t>
        </is>
      </c>
      <c r="M131" s="6" t="inlineStr">
        <is>
          <t>2026-02-17</t>
        </is>
      </c>
      <c r="N131" s="6" t="inlineStr">
        <is>
          <t>J.Cranshaw</t>
        </is>
      </c>
      <c r="O131" s="6" t="inlineStr">
        <is>
          <t>2028-02-17</t>
        </is>
      </c>
      <c r="P131" s="6" t="inlineStr">
        <is>
          <t>EN</t>
        </is>
      </c>
      <c r="Q131" s="6" t="n">
        <v>12</v>
      </c>
      <c r="R131" s="6" t="n"/>
    </row>
    <row r="132" ht="40" customHeight="1">
      <c r="A132" s="3" t="inlineStr">
        <is>
          <t>P6-STEP-002</t>
        </is>
      </c>
      <c r="B132" s="3" t="n">
        <v>6</v>
      </c>
      <c r="C132" s="3" t="inlineStr">
        <is>
          <t>6. Diversification &amp; Mutualisation</t>
        </is>
      </c>
      <c r="D132" s="3" t="inlineStr">
        <is>
          <t>diversification</t>
        </is>
      </c>
      <c r="E132" s="3" t="inlineStr">
        <is>
          <t>general</t>
        </is>
      </c>
      <c r="F132" s="7" t="inlineStr">
        <is>
          <t>STEP</t>
        </is>
      </c>
      <c r="G132" s="3" t="n">
        <v>1</v>
      </c>
      <c r="H132" s="3" t="inlineStr">
        <is>
          <t>Lorem ipsum dolor sit amet consectetur adipiscing elit sed do eiusmod tempor incididunt ut labore et dolore magna</t>
        </is>
      </c>
      <c r="I132" s="3" t="n">
        <v>25</v>
      </c>
      <c r="J132" s="104">
        <f>IF(TRIM(H132)="",0,LEN(TRIM(H132))-LEN(SUBSTITUTE(TRIM(H132)," ",""))+1)</f>
        <v/>
      </c>
      <c r="K132" s="103">
        <f>IF(J132&gt;I132,"OVER ↑","✓")</f>
        <v/>
      </c>
      <c r="L132" s="3" t="inlineStr">
        <is>
          <t>STABLE</t>
        </is>
      </c>
      <c r="M132" s="3" t="inlineStr">
        <is>
          <t>2026-02-17</t>
        </is>
      </c>
      <c r="N132" s="3" t="inlineStr">
        <is>
          <t>J.Cranshaw</t>
        </is>
      </c>
      <c r="O132" s="3" t="inlineStr">
        <is>
          <t>2028-02-17</t>
        </is>
      </c>
      <c r="P132" s="3" t="inlineStr">
        <is>
          <t>EN</t>
        </is>
      </c>
      <c r="Q132" s="3" t="n">
        <v>13</v>
      </c>
      <c r="R132" s="3" t="n"/>
    </row>
    <row r="133" ht="40" customHeight="1">
      <c r="A133" s="6" t="inlineStr">
        <is>
          <t>P6-WARNING-001</t>
        </is>
      </c>
      <c r="B133" s="6" t="n">
        <v>6</v>
      </c>
      <c r="C133" s="6" t="inlineStr">
        <is>
          <t>6. Diversification &amp; Mutualisation</t>
        </is>
      </c>
      <c r="D133" s="6" t="inlineStr">
        <is>
          <t>diversification</t>
        </is>
      </c>
      <c r="E133" s="6" t="inlineStr">
        <is>
          <t>general</t>
        </is>
      </c>
      <c r="F133" s="10" t="inlineStr">
        <is>
          <t>WARNING</t>
        </is>
      </c>
      <c r="G133" s="6" t="n">
        <v>1</v>
      </c>
      <c r="H133" s="6" t="inlineStr">
        <is>
          <t>Lorem ipsum dolor sit amet consectetur adipiscing elit sed do eiusmod tempor incididunt ut labore et dolore magna aliqua ut enim ad minim veniam quis nostrud</t>
        </is>
      </c>
      <c r="I133" s="6" t="n">
        <v>35</v>
      </c>
      <c r="J133" s="102">
        <f>IF(TRIM(H133)="",0,LEN(TRIM(H133))-LEN(SUBSTITUTE(TRIM(H133)," ",""))+1)</f>
        <v/>
      </c>
      <c r="K133" s="103">
        <f>IF(J133&gt;I133,"OVER ↑","✓")</f>
        <v/>
      </c>
      <c r="L133" s="6" t="inlineStr">
        <is>
          <t>STABLE</t>
        </is>
      </c>
      <c r="M133" s="6" t="inlineStr">
        <is>
          <t>2026-02-17</t>
        </is>
      </c>
      <c r="N133" s="6" t="inlineStr">
        <is>
          <t>J.Cranshaw</t>
        </is>
      </c>
      <c r="O133" s="6" t="inlineStr">
        <is>
          <t>2028-02-17</t>
        </is>
      </c>
      <c r="P133" s="6" t="inlineStr">
        <is>
          <t>EN</t>
        </is>
      </c>
      <c r="Q133" s="6" t="n">
        <v>14</v>
      </c>
      <c r="R133" s="6" t="n"/>
    </row>
    <row r="134" ht="40" customHeight="1">
      <c r="A134" s="3" t="inlineStr">
        <is>
          <t>P6-DBREF-001</t>
        </is>
      </c>
      <c r="B134" s="3" t="n">
        <v>6</v>
      </c>
      <c r="C134" s="3" t="inlineStr">
        <is>
          <t>6. Diversification &amp; Mutualisation</t>
        </is>
      </c>
      <c r="D134" s="3" t="inlineStr">
        <is>
          <t>diversification</t>
        </is>
      </c>
      <c r="E134" s="3" t="inlineStr">
        <is>
          <t>general</t>
        </is>
      </c>
      <c r="F134" s="16" t="inlineStr">
        <is>
          <t>DB-REF</t>
        </is>
      </c>
      <c r="G134" s="3" t="n">
        <v>1</v>
      </c>
      <c r="H134" s="3" t="inlineStr">
        <is>
          <t>Lorem ipsum dolor sit amet consectetur adipiscing elit sed do eiusmod tempor incididunt ut labore et dolore magna aliqua ut enim ad minim veniam quis nostrud exercitation ullamco laboris nisi</t>
        </is>
      </c>
      <c r="I134" s="3" t="n">
        <v>40</v>
      </c>
      <c r="J134" s="104">
        <f>IF(TRIM(H134)="",0,LEN(TRIM(H134))-LEN(SUBSTITUTE(TRIM(H134)," ",""))+1)</f>
        <v/>
      </c>
      <c r="K134" s="103">
        <f>IF(J134&gt;I134,"OVER ↑","✓")</f>
        <v/>
      </c>
      <c r="L134" s="3" t="inlineStr">
        <is>
          <t>HIGH-CHURN</t>
        </is>
      </c>
      <c r="M134" s="3" t="inlineStr">
        <is>
          <t>2026-02-17</t>
        </is>
      </c>
      <c r="N134" s="3" t="inlineStr">
        <is>
          <t>J.Cranshaw</t>
        </is>
      </c>
      <c r="O134" s="3" t="inlineStr">
        <is>
          <t>2027-02-17</t>
        </is>
      </c>
      <c r="P134" s="3" t="inlineStr">
        <is>
          <t>EN</t>
        </is>
      </c>
      <c r="Q134" s="3" t="n">
        <v>15</v>
      </c>
      <c r="R134" s="3" t="n"/>
    </row>
    <row r="135" ht="40" customHeight="1">
      <c r="A135" s="3" t="inlineStr">
        <is>
          <t>P7-INTRO-001</t>
        </is>
      </c>
      <c r="B135" s="3" t="n">
        <v>7</v>
      </c>
      <c r="C135" s="3" t="inlineStr">
        <is>
          <t>7. Help Keep This Toolkit Current</t>
        </is>
      </c>
      <c r="D135" s="3" t="inlineStr">
        <is>
          <t>general</t>
        </is>
      </c>
      <c r="E135" s="3" t="inlineStr">
        <is>
          <t>general</t>
        </is>
      </c>
      <c r="F135" s="4" t="inlineStr">
        <is>
          <t>INTRO</t>
        </is>
      </c>
      <c r="G135" s="3" t="n">
        <v>1</v>
      </c>
      <c r="H135" s="3"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t>
        </is>
      </c>
      <c r="I135" s="3" t="n">
        <v>60</v>
      </c>
      <c r="J135" s="104">
        <f>IF(TRIM(H135)="",0,LEN(TRIM(H135))-LEN(SUBSTITUTE(TRIM(H135)," ",""))+1)</f>
        <v/>
      </c>
      <c r="K135" s="103">
        <f>IF(J135&gt;I135,"OVER ↑","✓")</f>
        <v/>
      </c>
      <c r="L135" s="3" t="inlineStr">
        <is>
          <t>STABLE</t>
        </is>
      </c>
      <c r="M135" s="3" t="inlineStr">
        <is>
          <t>2026-02-17</t>
        </is>
      </c>
      <c r="N135" s="3" t="inlineStr">
        <is>
          <t>J.Cranshaw</t>
        </is>
      </c>
      <c r="O135" s="3" t="inlineStr">
        <is>
          <t>2028-02-17</t>
        </is>
      </c>
      <c r="P135" s="3" t="inlineStr">
        <is>
          <t>EN</t>
        </is>
      </c>
      <c r="Q135" s="3" t="n">
        <v>1</v>
      </c>
      <c r="R135" s="3" t="n"/>
    </row>
    <row r="136" ht="40" customHeight="1">
      <c r="A136" s="6" t="inlineStr">
        <is>
          <t>P7-FEEDBACK-001</t>
        </is>
      </c>
      <c r="B136" s="6" t="n">
        <v>7</v>
      </c>
      <c r="C136" s="6" t="inlineStr">
        <is>
          <t>7. Help Keep This Toolkit Current</t>
        </is>
      </c>
      <c r="D136" s="6" t="inlineStr">
        <is>
          <t>general</t>
        </is>
      </c>
      <c r="E136" s="6" t="inlineStr">
        <is>
          <t>general</t>
        </is>
      </c>
      <c r="F136" s="16" t="inlineStr">
        <is>
          <t>FEEDBACK</t>
        </is>
      </c>
      <c r="G136" s="6" t="n">
        <v>1</v>
      </c>
      <c r="H136" s="6" t="inlineStr">
        <is>
          <t>https://forus-international.org/toolkit-feedback</t>
        </is>
      </c>
      <c r="I136" s="106">
        <f>SWITCH(F136,"STEP",25,"INTRO",60,"TIP",35,"WARNING",35,"DECISION-Q",20,"DECISION-A",8,"CHECKLIST",20,"TEMPLATE",120,"CASE",80,"HEADER",10,"DB-REF",40,"MECHANISM-REF",15,"SUBSECTION",12,"FEEDBACK",120,20)</f>
        <v/>
      </c>
      <c r="J136" s="102">
        <f>IF(TRIM(H136)="",0,LEN(TRIM(H136))-LEN(SUBSTITUTE(TRIM(H136)," ",""))+1)</f>
        <v/>
      </c>
      <c r="K136" s="103">
        <f>IF(J136&gt;I136,"OVER ↑","✓")</f>
        <v/>
      </c>
      <c r="L136" s="6" t="inlineStr">
        <is>
          <t>HIGH-CHURN</t>
        </is>
      </c>
      <c r="M136" s="6" t="inlineStr">
        <is>
          <t>2026-02-17</t>
        </is>
      </c>
      <c r="N136" s="6" t="inlineStr">
        <is>
          <t>J.Cranshaw</t>
        </is>
      </c>
      <c r="O136" s="6" t="inlineStr">
        <is>
          <t>2027-02-17</t>
        </is>
      </c>
      <c r="P136" s="6" t="inlineStr">
        <is>
          <t>EN</t>
        </is>
      </c>
      <c r="Q136" s="6" t="n">
        <v>2</v>
      </c>
      <c r="R136" s="6" t="inlineStr">
        <is>
          <t>URL placeholder — Forus to build this page. Should accept: which section, what has changed, contact details (optional).</t>
        </is>
      </c>
    </row>
    <row r="137" ht="40" customHeight="1">
      <c r="A137" s="3" t="inlineStr">
        <is>
          <t>P7-CHECKLIST-001</t>
        </is>
      </c>
      <c r="B137" s="3" t="n">
        <v>7</v>
      </c>
      <c r="C137" s="3" t="inlineStr">
        <is>
          <t>7. Help Keep This Toolkit Current</t>
        </is>
      </c>
      <c r="D137" s="3" t="inlineStr">
        <is>
          <t>general</t>
        </is>
      </c>
      <c r="E137" s="3" t="inlineStr">
        <is>
          <t>general</t>
        </is>
      </c>
      <c r="F137" s="16" t="inlineStr">
        <is>
          <t>CHECKLIST</t>
        </is>
      </c>
      <c r="G137" s="3" t="n">
        <v>1</v>
      </c>
      <c r="H137" s="3" t="inlineStr">
        <is>
          <t>Lorem ipsum dolor sit amet consectetur adipiscing elit sed do eiusmod tempor incididunt ut labore</t>
        </is>
      </c>
      <c r="I137" s="3" t="n">
        <v>20</v>
      </c>
      <c r="J137" s="104">
        <f>IF(TRIM(H137)="",0,LEN(TRIM(H137))-LEN(SUBSTITUTE(TRIM(H137)," ",""))+1)</f>
        <v/>
      </c>
      <c r="K137" s="103">
        <f>IF(J137&gt;I137,"OVER ↑","✓")</f>
        <v/>
      </c>
      <c r="L137" s="3" t="inlineStr">
        <is>
          <t>STABLE</t>
        </is>
      </c>
      <c r="M137" s="3" t="inlineStr">
        <is>
          <t>2026-02-17</t>
        </is>
      </c>
      <c r="N137" s="3" t="inlineStr">
        <is>
          <t>J.Cranshaw</t>
        </is>
      </c>
      <c r="O137" s="3" t="inlineStr">
        <is>
          <t>2028-02-17</t>
        </is>
      </c>
      <c r="P137" s="3" t="inlineStr">
        <is>
          <t>EN</t>
        </is>
      </c>
      <c r="Q137" s="3" t="n">
        <v>3</v>
      </c>
      <c r="R137" s="3" t="inlineStr">
        <is>
          <t>Examples of what to flag</t>
        </is>
      </c>
    </row>
    <row r="138" ht="40" customHeight="1">
      <c r="A138" s="6" t="inlineStr">
        <is>
          <t>P7-CHECKLIST-002</t>
        </is>
      </c>
      <c r="B138" s="6" t="n">
        <v>7</v>
      </c>
      <c r="C138" s="6" t="inlineStr">
        <is>
          <t>7. Help Keep This Toolkit Current</t>
        </is>
      </c>
      <c r="D138" s="6" t="inlineStr">
        <is>
          <t>general</t>
        </is>
      </c>
      <c r="E138" s="6" t="inlineStr">
        <is>
          <t>general</t>
        </is>
      </c>
      <c r="F138" s="16" t="inlineStr">
        <is>
          <t>CHECKLIST</t>
        </is>
      </c>
      <c r="G138" s="6" t="n">
        <v>1</v>
      </c>
      <c r="H138" s="6" t="inlineStr">
        <is>
          <t>Lorem ipsum dolor sit amet consectetur adipiscing elit sed do eiusmod tempor incididunt ut labore</t>
        </is>
      </c>
      <c r="I138" s="6" t="n">
        <v>20</v>
      </c>
      <c r="J138" s="102">
        <f>IF(TRIM(H138)="",0,LEN(TRIM(H138))-LEN(SUBSTITUTE(TRIM(H138)," ",""))+1)</f>
        <v/>
      </c>
      <c r="K138" s="103">
        <f>IF(J138&gt;I138,"OVER ↑","✓")</f>
        <v/>
      </c>
      <c r="L138" s="6" t="inlineStr">
        <is>
          <t>STABLE</t>
        </is>
      </c>
      <c r="M138" s="6" t="inlineStr">
        <is>
          <t>2026-02-17</t>
        </is>
      </c>
      <c r="N138" s="6" t="inlineStr">
        <is>
          <t>J.Cranshaw</t>
        </is>
      </c>
      <c r="O138" s="6" t="inlineStr">
        <is>
          <t>2028-02-17</t>
        </is>
      </c>
      <c r="P138" s="6" t="inlineStr">
        <is>
          <t>EN</t>
        </is>
      </c>
      <c r="Q138" s="6" t="n">
        <v>4</v>
      </c>
      <c r="R138" s="6" t="n"/>
    </row>
    <row r="139" ht="40" customHeight="1">
      <c r="A139" s="3" t="inlineStr">
        <is>
          <t>P7-CHECKLIST-003</t>
        </is>
      </c>
      <c r="B139" s="3" t="n">
        <v>7</v>
      </c>
      <c r="C139" s="3" t="inlineStr">
        <is>
          <t>7. Help Keep This Toolkit Current</t>
        </is>
      </c>
      <c r="D139" s="3" t="inlineStr">
        <is>
          <t>general</t>
        </is>
      </c>
      <c r="E139" s="3" t="inlineStr">
        <is>
          <t>general</t>
        </is>
      </c>
      <c r="F139" s="16" t="inlineStr">
        <is>
          <t>CHECKLIST</t>
        </is>
      </c>
      <c r="G139" s="3" t="n">
        <v>1</v>
      </c>
      <c r="H139" s="3" t="inlineStr">
        <is>
          <t>Lorem ipsum dolor sit amet consectetur adipiscing elit sed do eiusmod tempor incididunt ut labore</t>
        </is>
      </c>
      <c r="I139" s="3" t="n">
        <v>20</v>
      </c>
      <c r="J139" s="104">
        <f>IF(TRIM(H139)="",0,LEN(TRIM(H139))-LEN(SUBSTITUTE(TRIM(H139)," ",""))+1)</f>
        <v/>
      </c>
      <c r="K139" s="103">
        <f>IF(J139&gt;I139,"OVER ↑","✓")</f>
        <v/>
      </c>
      <c r="L139" s="3" t="inlineStr">
        <is>
          <t>STABLE</t>
        </is>
      </c>
      <c r="M139" s="3" t="inlineStr">
        <is>
          <t>2026-02-17</t>
        </is>
      </c>
      <c r="N139" s="3" t="inlineStr">
        <is>
          <t>J.Cranshaw</t>
        </is>
      </c>
      <c r="O139" s="3" t="inlineStr">
        <is>
          <t>2028-02-17</t>
        </is>
      </c>
      <c r="P139" s="3" t="inlineStr">
        <is>
          <t>EN</t>
        </is>
      </c>
      <c r="Q139" s="3" t="n">
        <v>5</v>
      </c>
      <c r="R139" s="3" t="n"/>
    </row>
    <row r="140" ht="40" customHeight="1">
      <c r="A140" s="6" t="inlineStr">
        <is>
          <t>P7-CHECKLIST-004</t>
        </is>
      </c>
      <c r="B140" s="6" t="n">
        <v>7</v>
      </c>
      <c r="C140" s="6" t="inlineStr">
        <is>
          <t>7. Help Keep This Toolkit Current</t>
        </is>
      </c>
      <c r="D140" s="6" t="inlineStr">
        <is>
          <t>general</t>
        </is>
      </c>
      <c r="E140" s="6" t="inlineStr">
        <is>
          <t>general</t>
        </is>
      </c>
      <c r="F140" s="16" t="inlineStr">
        <is>
          <t>CHECKLIST</t>
        </is>
      </c>
      <c r="G140" s="6" t="n">
        <v>1</v>
      </c>
      <c r="H140" s="6" t="inlineStr">
        <is>
          <t>Lorem ipsum dolor sit amet consectetur adipiscing elit sed do eiusmod tempor incididunt ut labore</t>
        </is>
      </c>
      <c r="I140" s="6" t="n">
        <v>20</v>
      </c>
      <c r="J140" s="102">
        <f>IF(TRIM(H140)="",0,LEN(TRIM(H140))-LEN(SUBSTITUTE(TRIM(H140)," ",""))+1)</f>
        <v/>
      </c>
      <c r="K140" s="103">
        <f>IF(J140&gt;I140,"OVER ↑","✓")</f>
        <v/>
      </c>
      <c r="L140" s="6" t="inlineStr">
        <is>
          <t>STABLE</t>
        </is>
      </c>
      <c r="M140" s="6" t="inlineStr">
        <is>
          <t>2026-02-17</t>
        </is>
      </c>
      <c r="N140" s="6" t="inlineStr">
        <is>
          <t>J.Cranshaw</t>
        </is>
      </c>
      <c r="O140" s="6" t="inlineStr">
        <is>
          <t>2028-02-17</t>
        </is>
      </c>
      <c r="P140" s="6" t="inlineStr">
        <is>
          <t>EN</t>
        </is>
      </c>
      <c r="Q140" s="6" t="n">
        <v>6</v>
      </c>
      <c r="R140" s="6" t="n"/>
    </row>
    <row r="141" ht="40" customHeight="1">
      <c r="A141" s="3" t="inlineStr">
        <is>
          <t>P7-TIP-001</t>
        </is>
      </c>
      <c r="B141" s="3" t="n">
        <v>7</v>
      </c>
      <c r="C141" s="3" t="inlineStr">
        <is>
          <t>7. Help Keep This Toolkit Current</t>
        </is>
      </c>
      <c r="D141" s="3" t="inlineStr">
        <is>
          <t>general</t>
        </is>
      </c>
      <c r="E141" s="3" t="inlineStr">
        <is>
          <t>general</t>
        </is>
      </c>
      <c r="F141" s="9" t="inlineStr">
        <is>
          <t>TIP</t>
        </is>
      </c>
      <c r="G141" s="3" t="n">
        <v>1</v>
      </c>
      <c r="H141" s="3" t="inlineStr">
        <is>
          <t>Lorem ipsum dolor sit amet consectetur adipiscing elit sed do eiusmod tempor incididunt ut labore et dolore magna aliqua ut enim ad minim veniam quis nostrud</t>
        </is>
      </c>
      <c r="I141" s="3" t="n">
        <v>35</v>
      </c>
      <c r="J141" s="104">
        <f>IF(TRIM(H141)="",0,LEN(TRIM(H141))-LEN(SUBSTITUTE(TRIM(H141)," ",""))+1)</f>
        <v/>
      </c>
      <c r="K141" s="103">
        <f>IF(J141&gt;I141,"OVER ↑","✓")</f>
        <v/>
      </c>
      <c r="L141" s="3" t="inlineStr">
        <is>
          <t>STABLE</t>
        </is>
      </c>
      <c r="M141" s="3" t="inlineStr">
        <is>
          <t>2026-02-17</t>
        </is>
      </c>
      <c r="N141" s="3" t="inlineStr">
        <is>
          <t>J.Cranshaw</t>
        </is>
      </c>
      <c r="O141" s="3" t="inlineStr">
        <is>
          <t>2028-02-17</t>
        </is>
      </c>
      <c r="P141" s="3" t="inlineStr">
        <is>
          <t>EN</t>
        </is>
      </c>
      <c r="Q141" s="3" t="n">
        <v>7</v>
      </c>
      <c r="R141" s="3" t="n"/>
    </row>
    <row r="142" ht="40" customHeight="1">
      <c r="A142" t="inlineStr">
        <is>
          <t>P3-REGION-NAV-001</t>
        </is>
      </c>
      <c r="B142" t="n">
        <v>3</v>
      </c>
      <c r="C142" t="inlineStr">
        <is>
          <t>3. Legal Support Navigator</t>
        </is>
      </c>
      <c r="E142" t="inlineStr">
        <is>
          <t>general</t>
        </is>
      </c>
      <c r="F142" t="inlineStr">
        <is>
          <t>REGION-NAV</t>
        </is>
      </c>
      <c r="G142" t="n">
        <v>1</v>
      </c>
      <c r="H142" t="inlineStr">
        <is>
          <t>Africa | Asia-Pacific | Europe | Latin America &amp; Caribbean | Pacific | Global</t>
        </is>
      </c>
      <c r="I142" s="123">
        <f>SWITCH(F142,"STEP",25,"INTRO",60,"TIP",35,"WARNING",35,"DECISION-Q",20,"DECISION-A",8,"CHECKLIST",20,"TEMPLATE",120,"CASE",80,"HEADER",10,"DB-REF",40,"MECHANISM-REF",15,"SUBSECTION",12,"FEEDBACK",120,20)</f>
        <v/>
      </c>
      <c r="J142" s="124">
        <f>IF(TRIM(H142)="",0,LEN(TRIM(H142))-LEN(SUBSTITUTE(TRIM(H142)," ",""))+1)</f>
        <v/>
      </c>
      <c r="K142" s="125">
        <f>IF(J142&gt;I142,"OVER ↑","✓")</f>
        <v/>
      </c>
      <c r="Q142" t="n">
        <v>98</v>
      </c>
    </row>
    <row r="143" ht="40" customHeight="1">
      <c r="A143" t="inlineStr">
        <is>
          <t>P4-REGION-NAV-001</t>
        </is>
      </c>
      <c r="B143" t="n">
        <v>4</v>
      </c>
      <c r="C143" t="inlineStr">
        <is>
          <t>4. Emergency Funding Guide</t>
        </is>
      </c>
      <c r="E143" t="inlineStr">
        <is>
          <t>general</t>
        </is>
      </c>
      <c r="F143" t="inlineStr">
        <is>
          <t>REGION-NAV</t>
        </is>
      </c>
      <c r="G143" t="n">
        <v>1</v>
      </c>
      <c r="H143" t="inlineStr">
        <is>
          <t>Africa | Asia-Pacific | Europe | Latin America &amp; Caribbean | Pacific | Global</t>
        </is>
      </c>
      <c r="I143" s="123">
        <f>SWITCH(F143,"STEP",25,"INTRO",60,"TIP",35,"WARNING",35,"DECISION-Q",20,"DECISION-A",8,"CHECKLIST",20,"TEMPLATE",120,"CASE",80,"HEADER",10,"DB-REF",40,"MECHANISM-REF",15,"SUBSECTION",12,"FEEDBACK",120,20)</f>
        <v/>
      </c>
      <c r="J143" s="124">
        <f>IF(TRIM(H143)="",0,LEN(TRIM(H143))-LEN(SUBSTITUTE(TRIM(H143)," ",""))+1)</f>
        <v/>
      </c>
      <c r="K143" s="125">
        <f>IF(J143&gt;I143,"OVER ↑","✓")</f>
        <v/>
      </c>
      <c r="Q143" t="n">
        <v>98</v>
      </c>
    </row>
    <row r="144" ht="40" customHeight="1">
      <c r="A144" t="inlineStr">
        <is>
          <t>P6-PEER-001</t>
        </is>
      </c>
      <c r="B144" t="n">
        <v>6</v>
      </c>
      <c r="C144" t="inlineStr">
        <is>
          <t>6. Diversification &amp; Mutualisation</t>
        </is>
      </c>
      <c r="E144" t="inlineStr">
        <is>
          <t>general</t>
        </is>
      </c>
      <c r="F144" t="inlineStr">
        <is>
          <t>PEER-CONNECT</t>
        </is>
      </c>
      <c r="G144" t="n">
        <v>1</v>
      </c>
      <c r="H144" t="inlineStr">
        <is>
          <t>https://forus-international.org/peer-connect</t>
        </is>
      </c>
      <c r="I144" s="123">
        <f>SWITCH(F144,"STEP",25,"INTRO",60,"TIP",35,"WARNING",35,"DECISION-Q",20,"DECISION-A",8,"CHECKLIST",20,"TEMPLATE",120,"CASE",80,"HEADER",10,"DB-REF",40,"MECHANISM-REF",15,"SUBSECTION",12,"FEEDBACK",120,20)</f>
        <v/>
      </c>
      <c r="J144" s="124">
        <f>IF(TRIM(H144)="",0,LEN(TRIM(H144))-LEN(SUBSTITUTE(TRIM(H144)," ",""))+1)</f>
        <v/>
      </c>
      <c r="K144" s="125">
        <f>IF(J144&gt;I144,"OVER ↑","✓")</f>
        <v/>
      </c>
      <c r="Q144" t="n">
        <v>90</v>
      </c>
      <c r="R144" t="inlineStr">
        <is>
          <t>Peer connection CTA for diversification — invite members to share practices</t>
        </is>
      </c>
    </row>
    <row r="145" ht="40" customHeight="1">
      <c r="A145" t="inlineStr">
        <is>
          <t>P6-PEER-002</t>
        </is>
      </c>
      <c r="B145" t="n">
        <v>6</v>
      </c>
      <c r="C145" t="inlineStr">
        <is>
          <t>6. Diversification &amp; Mutualisation</t>
        </is>
      </c>
      <c r="E145" t="inlineStr">
        <is>
          <t>general</t>
        </is>
      </c>
      <c r="F145" t="inlineStr">
        <is>
          <t>PEER-CONNECT</t>
        </is>
      </c>
      <c r="G145" t="n">
        <v>1</v>
      </c>
      <c r="H145" t="inlineStr">
        <is>
          <t>https://forus-international.org/peer-connect</t>
        </is>
      </c>
      <c r="I145" s="123">
        <f>SWITCH(F145,"STEP",25,"INTRO",60,"TIP",35,"WARNING",35,"DECISION-Q",20,"DECISION-A",8,"CHECKLIST",20,"TEMPLATE",120,"CASE",80,"HEADER",10,"DB-REF",40,"MECHANISM-REF",15,"SUBSECTION",12,"FEEDBACK",120,20)</f>
        <v/>
      </c>
      <c r="J145" s="124">
        <f>IF(TRIM(H145)="",0,LEN(TRIM(H145))-LEN(SUBSTITUTE(TRIM(H145)," ",""))+1)</f>
        <v/>
      </c>
      <c r="K145" s="125">
        <f>IF(J145&gt;I145,"OVER ↑","✓")</f>
        <v/>
      </c>
      <c r="Q145" t="n">
        <v>95</v>
      </c>
      <c r="R145" t="inlineStr">
        <is>
          <t>Peer connection CTA for mutualisation specifically — shared services, pooled resources</t>
        </is>
      </c>
    </row>
    <row r="146" ht="40" customHeight="1">
      <c r="A146" t="inlineStr">
        <is>
          <t>P2-CASE-001</t>
        </is>
      </c>
      <c r="B146" t="n">
        <v>2</v>
      </c>
      <c r="C146" t="inlineStr">
        <is>
          <t>2. Solidarity Activation</t>
        </is>
      </c>
      <c r="E146" t="inlineStr">
        <is>
          <t>general</t>
        </is>
      </c>
      <c r="F146" t="inlineStr">
        <is>
          <t>CASE</t>
        </is>
      </c>
      <c r="G146" t="n">
        <v>2</v>
      </c>
      <c r="H146" t="inlineStr">
        <is>
          <t>Lorem ipsum dolor sit amet consectetur adipiscing elit sed do eiusmod tempor incididunt ut labore et dolore magna aliqua ut enim ad minim veniam Lorem ipsum dolor sit amet consectetur adipiscing elit sed do eiusmod tempor incididunt ut labore et dolore magna aliqua ut enim</t>
        </is>
      </c>
      <c r="I146" s="123">
        <f>SWITCH(F146,"STEP",25,"INTRO",60,"TIP",35,"WARNING",35,"DECISION-Q",20,"DECISION-A",8,"CHECKLIST",20,"TEMPLATE",120,"CASE",80,"HEADER",10,"DB-REF",40,"MECHANISM-REF",15,"SUBSECTION",12,"FEEDBACK",120,20)</f>
        <v/>
      </c>
      <c r="J146" s="124">
        <f>IF(TRIM(H146)="",0,LEN(TRIM(H146))-LEN(SUBSTITUTE(TRIM(H146)," ",""))+1)</f>
        <v/>
      </c>
      <c r="K146" s="125">
        <f>IF(J146&gt;I146,"OVER ↑","✓")</f>
        <v/>
      </c>
      <c r="Q146" t="n">
        <v>80</v>
      </c>
      <c r="R146" t="inlineStr">
        <is>
          <t>Case study teaser — full story accessible via peer connect</t>
        </is>
      </c>
    </row>
    <row r="147" ht="40" customHeight="1">
      <c r="A147" t="inlineStr">
        <is>
          <t>P2-PEER-001</t>
        </is>
      </c>
      <c r="B147" t="n">
        <v>2</v>
      </c>
      <c r="C147" t="inlineStr">
        <is>
          <t>2. Solidarity Activation</t>
        </is>
      </c>
      <c r="E147" t="inlineStr">
        <is>
          <t>general</t>
        </is>
      </c>
      <c r="F147" t="inlineStr">
        <is>
          <t>PEER-CONNECT</t>
        </is>
      </c>
      <c r="G147" t="n">
        <v>2</v>
      </c>
      <c r="H147" t="inlineStr">
        <is>
          <t>https://forus-international.org/peer-connect</t>
        </is>
      </c>
      <c r="I147" s="123">
        <f>SWITCH(F147,"STEP",25,"INTRO",60,"TIP",35,"WARNING",35,"DECISION-Q",20,"DECISION-A",8,"CHECKLIST",20,"TEMPLATE",120,"CASE",80,"HEADER",10,"DB-REF",40,"MECHANISM-REF",15,"SUBSECTION",12,"FEEDBACK",120,20)</f>
        <v/>
      </c>
      <c r="J147" s="124">
        <f>IF(TRIM(H147)="",0,LEN(TRIM(H147))-LEN(SUBSTITUTE(TRIM(H147)," ",""))+1)</f>
        <v/>
      </c>
      <c r="K147" s="125">
        <f>IF(J147&gt;I147,"OVER ↑","✓")</f>
        <v/>
      </c>
      <c r="Q147" t="n">
        <v>81</v>
      </c>
    </row>
    <row r="148" ht="40" customHeight="1">
      <c r="A148" t="inlineStr">
        <is>
          <t>P8-LGL-INTRO-001</t>
        </is>
      </c>
      <c r="B148" t="n">
        <v>8</v>
      </c>
      <c r="C148" t="inlineStr">
        <is>
          <t>Annex A: Legal Pro Bono Support</t>
        </is>
      </c>
      <c r="E148" t="inlineStr">
        <is>
          <t>general</t>
        </is>
      </c>
      <c r="F148" t="inlineStr">
        <is>
          <t>INTRO</t>
        </is>
      </c>
      <c r="G148" t="n">
        <v>1</v>
      </c>
      <c r="H148" t="inlineStr">
        <is>
          <t>Lorem ipsum dolor sit amet consectetur adipiscing elit sed do eiusmod tempor incididunt ut labore et dolore magna aliqua ut enim ad minim veniam Lorem ipsum dolor sit amet consectetur adipiscing elit sed do eiusmod tempor incididunt ut labore et dolore magna aliqua ut enim</t>
        </is>
      </c>
      <c r="I148" s="123">
        <f>SWITCH(F148,"STEP",25,"INTRO",60,"TIP",35,"WARNING",35,"DECISION-Q",20,"DECISION-A",8,"CHECKLIST",20,"TEMPLATE",120,"CASE",80,"HEADER",10,"DB-REF",40,"MECHANISM-REF",15,"SUBSECTION",12,"FEEDBACK",120,20)</f>
        <v/>
      </c>
      <c r="J148" s="124">
        <f>IF(TRIM(H148)="",0,LEN(TRIM(H148))-LEN(SUBSTITUTE(TRIM(H148)," ",""))+1)</f>
        <v/>
      </c>
      <c r="K148" s="125">
        <f>IF(J148&gt;I148,"OVER ↑","✓")</f>
        <v/>
      </c>
      <c r="Q148" t="n">
        <v>0</v>
      </c>
      <c r="R148" t="inlineStr">
        <is>
          <t>Overview of how this annex is organised and how to use regional sections</t>
        </is>
      </c>
    </row>
    <row r="149" ht="40" customHeight="1">
      <c r="A149" t="inlineStr">
        <is>
          <t>P8-LGL-AFRICA-SUB</t>
        </is>
      </c>
      <c r="B149" t="n">
        <v>8</v>
      </c>
      <c r="C149" t="inlineStr">
        <is>
          <t>Annex A: Legal Pro Bono Support</t>
        </is>
      </c>
      <c r="E149" t="inlineStr">
        <is>
          <t>general</t>
        </is>
      </c>
      <c r="F149" t="inlineStr">
        <is>
          <t>SUBSECTION</t>
        </is>
      </c>
      <c r="G149" t="n">
        <v>1</v>
      </c>
      <c r="H149" t="inlineStr">
        <is>
          <t>Africa</t>
        </is>
      </c>
      <c r="I149" s="123">
        <f>SWITCH(F149,"STEP",25,"INTRO",60,"TIP",35,"WARNING",35,"DECISION-Q",20,"DECISION-A",8,"CHECKLIST",20,"TEMPLATE",120,"CASE",80,"HEADER",10,"DB-REF",40,"MECHANISM-REF",15,"SUBSECTION",12,"FEEDBACK",120,20)</f>
        <v/>
      </c>
      <c r="J149" s="124">
        <f>IF(TRIM(H149)="",0,LEN(TRIM(H149))-LEN(SUBSTITUTE(TRIM(H149)," ",""))+1)</f>
        <v/>
      </c>
      <c r="K149" s="125">
        <f>IF(J149&gt;I149,"OVER ↑","✓")</f>
        <v/>
      </c>
      <c r="Q149" t="n">
        <v>0</v>
      </c>
    </row>
    <row r="150" ht="40" customHeight="1">
      <c r="A150" t="inlineStr">
        <is>
          <t>P8-LGL-AFRI-NIGERI-01</t>
        </is>
      </c>
      <c r="B150" t="n">
        <v>8</v>
      </c>
      <c r="C150" t="inlineStr">
        <is>
          <t>Annex A: Legal Pro Bono Support</t>
        </is>
      </c>
      <c r="E150" t="inlineStr">
        <is>
          <t>general</t>
        </is>
      </c>
      <c r="F150" t="inlineStr">
        <is>
          <t>COUNTRY-ENTRY</t>
        </is>
      </c>
      <c r="G150" t="n">
        <v>1</v>
      </c>
      <c r="H150" t="inlineStr">
        <is>
          <t>Nigeria | Lorem ipsum dolor sit amet consectetur adipiscing elit sed do eiusmod tempor incididunt ut labore et dolore magna</t>
        </is>
      </c>
      <c r="I150" s="123">
        <f>SWITCH(F150,"STEP",25,"INTRO",60,"TIP",35,"WARNING",35,"DECISION-Q",20,"DECISION-A",8,"CHECKLIST",20,"TEMPLATE",120,"CASE",80,"HEADER",10,"DB-REF",40,"MECHANISM-REF",15,"SUBSECTION",12,"FEEDBACK",120,20)</f>
        <v/>
      </c>
      <c r="J150" s="124">
        <f>IF(TRIM(H150)="",0,LEN(TRIM(H150))-LEN(SUBSTITUTE(TRIM(H150)," ",""))+1)</f>
        <v/>
      </c>
      <c r="K150" s="125">
        <f>IF(J150&gt;I150,"OVER ↑","✓")</f>
        <v/>
      </c>
      <c r="Q150" t="n">
        <v>1</v>
      </c>
      <c r="R150" t="inlineStr">
        <is>
          <t>PLACEHOLDER — verify pro bono providers</t>
        </is>
      </c>
    </row>
    <row r="151" ht="40" customHeight="1">
      <c r="A151" t="inlineStr">
        <is>
          <t>P8-LGL-AFRI-KENYA-02</t>
        </is>
      </c>
      <c r="B151" t="n">
        <v>8</v>
      </c>
      <c r="C151" t="inlineStr">
        <is>
          <t>Annex A: Legal Pro Bono Support</t>
        </is>
      </c>
      <c r="E151" t="inlineStr">
        <is>
          <t>general</t>
        </is>
      </c>
      <c r="F151" t="inlineStr">
        <is>
          <t>COUNTRY-ENTRY</t>
        </is>
      </c>
      <c r="G151" t="n">
        <v>1</v>
      </c>
      <c r="H151" t="inlineStr">
        <is>
          <t>Kenya | Lorem ipsum dolor sit amet consectetur adipiscing elit sed do eiusmod tempor incididunt ut labore et dolore magna</t>
        </is>
      </c>
      <c r="I151" s="123">
        <f>SWITCH(F151,"STEP",25,"INTRO",60,"TIP",35,"WARNING",35,"DECISION-Q",20,"DECISION-A",8,"CHECKLIST",20,"TEMPLATE",120,"CASE",80,"HEADER",10,"DB-REF",40,"MECHANISM-REF",15,"SUBSECTION",12,"FEEDBACK",120,20)</f>
        <v/>
      </c>
      <c r="J151" s="124">
        <f>IF(TRIM(H151)="",0,LEN(TRIM(H151))-LEN(SUBSTITUTE(TRIM(H151)," ",""))+1)</f>
        <v/>
      </c>
      <c r="K151" s="125">
        <f>IF(J151&gt;I151,"OVER ↑","✓")</f>
        <v/>
      </c>
      <c r="Q151" t="n">
        <v>2</v>
      </c>
      <c r="R151" t="inlineStr">
        <is>
          <t>PLACEHOLDER — verify pro bono providers</t>
        </is>
      </c>
    </row>
    <row r="152" ht="40" customHeight="1">
      <c r="A152" t="inlineStr">
        <is>
          <t>P8-LGL-AFRI-SENEGA-03</t>
        </is>
      </c>
      <c r="B152" t="n">
        <v>8</v>
      </c>
      <c r="C152" t="inlineStr">
        <is>
          <t>Annex A: Legal Pro Bono Support</t>
        </is>
      </c>
      <c r="E152" t="inlineStr">
        <is>
          <t>general</t>
        </is>
      </c>
      <c r="F152" t="inlineStr">
        <is>
          <t>COUNTRY-ENTRY</t>
        </is>
      </c>
      <c r="G152" t="n">
        <v>1</v>
      </c>
      <c r="H152" t="inlineStr">
        <is>
          <t>Senegal | Lorem ipsum dolor sit amet consectetur adipiscing elit sed do eiusmod tempor incididunt ut labore et dolore magna</t>
        </is>
      </c>
      <c r="I152" s="123">
        <f>SWITCH(F152,"STEP",25,"INTRO",60,"TIP",35,"WARNING",35,"DECISION-Q",20,"DECISION-A",8,"CHECKLIST",20,"TEMPLATE",120,"CASE",80,"HEADER",10,"DB-REF",40,"MECHANISM-REF",15,"SUBSECTION",12,"FEEDBACK",120,20)</f>
        <v/>
      </c>
      <c r="J152" s="124">
        <f>IF(TRIM(H152)="",0,LEN(TRIM(H152))-LEN(SUBSTITUTE(TRIM(H152)," ",""))+1)</f>
        <v/>
      </c>
      <c r="K152" s="125">
        <f>IF(J152&gt;I152,"OVER ↑","✓")</f>
        <v/>
      </c>
      <c r="Q152" t="n">
        <v>3</v>
      </c>
      <c r="R152" t="inlineStr">
        <is>
          <t>PLACEHOLDER — verify pro bono providers</t>
        </is>
      </c>
    </row>
    <row r="153" ht="40" customHeight="1">
      <c r="A153" t="inlineStr">
        <is>
          <t>P8-LGL-ASIA-P-SUB</t>
        </is>
      </c>
      <c r="B153" t="n">
        <v>8</v>
      </c>
      <c r="C153" t="inlineStr">
        <is>
          <t>Annex A: Legal Pro Bono Support</t>
        </is>
      </c>
      <c r="E153" t="inlineStr">
        <is>
          <t>general</t>
        </is>
      </c>
      <c r="F153" t="inlineStr">
        <is>
          <t>SUBSECTION</t>
        </is>
      </c>
      <c r="G153" t="n">
        <v>1</v>
      </c>
      <c r="H153" t="inlineStr">
        <is>
          <t>Asia-Pacific</t>
        </is>
      </c>
      <c r="I153" s="123">
        <f>SWITCH(F153,"STEP",25,"INTRO",60,"TIP",35,"WARNING",35,"DECISION-Q",20,"DECISION-A",8,"CHECKLIST",20,"TEMPLATE",120,"CASE",80,"HEADER",10,"DB-REF",40,"MECHANISM-REF",15,"SUBSECTION",12,"FEEDBACK",120,20)</f>
        <v/>
      </c>
      <c r="J153" s="124">
        <f>IF(TRIM(H153)="",0,LEN(TRIM(H153))-LEN(SUBSTITUTE(TRIM(H153)," ",""))+1)</f>
        <v/>
      </c>
      <c r="K153" s="125">
        <f>IF(J153&gt;I153,"OVER ↑","✓")</f>
        <v/>
      </c>
      <c r="Q153" t="n">
        <v>20</v>
      </c>
    </row>
    <row r="154" ht="40" customHeight="1">
      <c r="A154" t="inlineStr">
        <is>
          <t>P8-LGL-ASIA-INDONE-01</t>
        </is>
      </c>
      <c r="B154" t="n">
        <v>8</v>
      </c>
      <c r="C154" t="inlineStr">
        <is>
          <t>Annex A: Legal Pro Bono Support</t>
        </is>
      </c>
      <c r="E154" t="inlineStr">
        <is>
          <t>general</t>
        </is>
      </c>
      <c r="F154" t="inlineStr">
        <is>
          <t>COUNTRY-ENTRY</t>
        </is>
      </c>
      <c r="G154" t="n">
        <v>1</v>
      </c>
      <c r="H154" t="inlineStr">
        <is>
          <t>Indonesia | Lorem ipsum dolor sit amet consectetur adipiscing elit sed do eiusmod tempor incididunt ut labore et dolore magna</t>
        </is>
      </c>
      <c r="I154" s="123">
        <f>SWITCH(F154,"STEP",25,"INTRO",60,"TIP",35,"WARNING",35,"DECISION-Q",20,"DECISION-A",8,"CHECKLIST",20,"TEMPLATE",120,"CASE",80,"HEADER",10,"DB-REF",40,"MECHANISM-REF",15,"SUBSECTION",12,"FEEDBACK",120,20)</f>
        <v/>
      </c>
      <c r="J154" s="124">
        <f>IF(TRIM(H154)="",0,LEN(TRIM(H154))-LEN(SUBSTITUTE(TRIM(H154)," ",""))+1)</f>
        <v/>
      </c>
      <c r="K154" s="125">
        <f>IF(J154&gt;I154,"OVER ↑","✓")</f>
        <v/>
      </c>
      <c r="Q154" t="n">
        <v>21</v>
      </c>
      <c r="R154" t="inlineStr">
        <is>
          <t>PLACEHOLDER</t>
        </is>
      </c>
    </row>
    <row r="155" ht="40" customHeight="1">
      <c r="A155" t="inlineStr">
        <is>
          <t>P8-LGL-ASIA-THAILA-02</t>
        </is>
      </c>
      <c r="B155" t="n">
        <v>8</v>
      </c>
      <c r="C155" t="inlineStr">
        <is>
          <t>Annex A: Legal Pro Bono Support</t>
        </is>
      </c>
      <c r="E155" t="inlineStr">
        <is>
          <t>general</t>
        </is>
      </c>
      <c r="F155" t="inlineStr">
        <is>
          <t>COUNTRY-ENTRY</t>
        </is>
      </c>
      <c r="G155" t="n">
        <v>1</v>
      </c>
      <c r="H155" t="inlineStr">
        <is>
          <t>Thailand | Lorem ipsum dolor sit amet consectetur adipiscing elit sed do eiusmod tempor incididunt ut labore et dolore magna</t>
        </is>
      </c>
      <c r="I155" s="123">
        <f>SWITCH(F155,"STEP",25,"INTRO",60,"TIP",35,"WARNING",35,"DECISION-Q",20,"DECISION-A",8,"CHECKLIST",20,"TEMPLATE",120,"CASE",80,"HEADER",10,"DB-REF",40,"MECHANISM-REF",15,"SUBSECTION",12,"FEEDBACK",120,20)</f>
        <v/>
      </c>
      <c r="J155" s="124">
        <f>IF(TRIM(H155)="",0,LEN(TRIM(H155))-LEN(SUBSTITUTE(TRIM(H155)," ",""))+1)</f>
        <v/>
      </c>
      <c r="K155" s="125">
        <f>IF(J155&gt;I155,"OVER ↑","✓")</f>
        <v/>
      </c>
      <c r="Q155" t="n">
        <v>22</v>
      </c>
      <c r="R155" t="inlineStr">
        <is>
          <t>PLACEHOLDER</t>
        </is>
      </c>
    </row>
    <row r="156" ht="40" customHeight="1">
      <c r="A156" t="inlineStr">
        <is>
          <t>P8-LGL-ASIA-PHILIP-03</t>
        </is>
      </c>
      <c r="B156" t="n">
        <v>8</v>
      </c>
      <c r="C156" t="inlineStr">
        <is>
          <t>Annex A: Legal Pro Bono Support</t>
        </is>
      </c>
      <c r="E156" t="inlineStr">
        <is>
          <t>general</t>
        </is>
      </c>
      <c r="F156" t="inlineStr">
        <is>
          <t>COUNTRY-ENTRY</t>
        </is>
      </c>
      <c r="G156" t="n">
        <v>1</v>
      </c>
      <c r="H156" t="inlineStr">
        <is>
          <t>Philippines | Lorem ipsum dolor sit amet consectetur adipiscing elit sed do eiusmod tempor incididunt ut labore et dolore magna</t>
        </is>
      </c>
      <c r="I156" s="123">
        <f>SWITCH(F156,"STEP",25,"INTRO",60,"TIP",35,"WARNING",35,"DECISION-Q",20,"DECISION-A",8,"CHECKLIST",20,"TEMPLATE",120,"CASE",80,"HEADER",10,"DB-REF",40,"MECHANISM-REF",15,"SUBSECTION",12,"FEEDBACK",120,20)</f>
        <v/>
      </c>
      <c r="J156" s="124">
        <f>IF(TRIM(H156)="",0,LEN(TRIM(H156))-LEN(SUBSTITUTE(TRIM(H156)," ",""))+1)</f>
        <v/>
      </c>
      <c r="K156" s="125">
        <f>IF(J156&gt;I156,"OVER ↑","✓")</f>
        <v/>
      </c>
      <c r="Q156" t="n">
        <v>23</v>
      </c>
      <c r="R156" t="inlineStr">
        <is>
          <t>PLACEHOLDER</t>
        </is>
      </c>
    </row>
    <row r="157" ht="40" customHeight="1">
      <c r="A157" t="inlineStr">
        <is>
          <t>P8-LGL-EUROPE-SUB</t>
        </is>
      </c>
      <c r="B157" t="n">
        <v>8</v>
      </c>
      <c r="C157" t="inlineStr">
        <is>
          <t>Annex A: Legal Pro Bono Support</t>
        </is>
      </c>
      <c r="E157" t="inlineStr">
        <is>
          <t>general</t>
        </is>
      </c>
      <c r="F157" t="inlineStr">
        <is>
          <t>SUBSECTION</t>
        </is>
      </c>
      <c r="G157" t="n">
        <v>1</v>
      </c>
      <c r="H157" t="inlineStr">
        <is>
          <t>Europe</t>
        </is>
      </c>
      <c r="I157" s="123">
        <f>SWITCH(F157,"STEP",25,"INTRO",60,"TIP",35,"WARNING",35,"DECISION-Q",20,"DECISION-A",8,"CHECKLIST",20,"TEMPLATE",120,"CASE",80,"HEADER",10,"DB-REF",40,"MECHANISM-REF",15,"SUBSECTION",12,"FEEDBACK",120,20)</f>
        <v/>
      </c>
      <c r="J157" s="124">
        <f>IF(TRIM(H157)="",0,LEN(TRIM(H157))-LEN(SUBSTITUTE(TRIM(H157)," ",""))+1)</f>
        <v/>
      </c>
      <c r="K157" s="125">
        <f>IF(J157&gt;I157,"OVER ↑","✓")</f>
        <v/>
      </c>
      <c r="Q157" t="n">
        <v>40</v>
      </c>
    </row>
    <row r="158" ht="40" customHeight="1">
      <c r="A158" t="inlineStr">
        <is>
          <t>P8-LGL-EURO-FRANCE-01</t>
        </is>
      </c>
      <c r="B158" t="n">
        <v>8</v>
      </c>
      <c r="C158" t="inlineStr">
        <is>
          <t>Annex A: Legal Pro Bono Support</t>
        </is>
      </c>
      <c r="E158" t="inlineStr">
        <is>
          <t>general</t>
        </is>
      </c>
      <c r="F158" t="inlineStr">
        <is>
          <t>COUNTRY-ENTRY</t>
        </is>
      </c>
      <c r="G158" t="n">
        <v>1</v>
      </c>
      <c r="H158" t="inlineStr">
        <is>
          <t>France | Lorem ipsum dolor sit amet consectetur adipiscing elit sed do eiusmod tempor incididunt ut labore et dolore magna</t>
        </is>
      </c>
      <c r="I158" s="123">
        <f>SWITCH(F158,"STEP",25,"INTRO",60,"TIP",35,"WARNING",35,"DECISION-Q",20,"DECISION-A",8,"CHECKLIST",20,"TEMPLATE",120,"CASE",80,"HEADER",10,"DB-REF",40,"MECHANISM-REF",15,"SUBSECTION",12,"FEEDBACK",120,20)</f>
        <v/>
      </c>
      <c r="J158" s="124">
        <f>IF(TRIM(H158)="",0,LEN(TRIM(H158))-LEN(SUBSTITUTE(TRIM(H158)," ",""))+1)</f>
        <v/>
      </c>
      <c r="K158" s="125">
        <f>IF(J158&gt;I158,"OVER ↑","✓")</f>
        <v/>
      </c>
      <c r="Q158" t="n">
        <v>41</v>
      </c>
      <c r="R158" t="inlineStr">
        <is>
          <t>PLACEHOLDER</t>
        </is>
      </c>
    </row>
    <row r="159" ht="40" customHeight="1">
      <c r="A159" t="inlineStr">
        <is>
          <t>P8-LGL-EURO-GERMAN-02</t>
        </is>
      </c>
      <c r="B159" t="n">
        <v>8</v>
      </c>
      <c r="C159" t="inlineStr">
        <is>
          <t>Annex A: Legal Pro Bono Support</t>
        </is>
      </c>
      <c r="E159" t="inlineStr">
        <is>
          <t>general</t>
        </is>
      </c>
      <c r="F159" t="inlineStr">
        <is>
          <t>COUNTRY-ENTRY</t>
        </is>
      </c>
      <c r="G159" t="n">
        <v>1</v>
      </c>
      <c r="H159" t="inlineStr">
        <is>
          <t>Germany | Lorem ipsum dolor sit amet consectetur adipiscing elit sed do eiusmod tempor incididunt ut labore et dolore magna</t>
        </is>
      </c>
      <c r="I159" s="123">
        <f>SWITCH(F159,"STEP",25,"INTRO",60,"TIP",35,"WARNING",35,"DECISION-Q",20,"DECISION-A",8,"CHECKLIST",20,"TEMPLATE",120,"CASE",80,"HEADER",10,"DB-REF",40,"MECHANISM-REF",15,"SUBSECTION",12,"FEEDBACK",120,20)</f>
        <v/>
      </c>
      <c r="J159" s="124">
        <f>IF(TRIM(H159)="",0,LEN(TRIM(H159))-LEN(SUBSTITUTE(TRIM(H159)," ",""))+1)</f>
        <v/>
      </c>
      <c r="K159" s="125">
        <f>IF(J159&gt;I159,"OVER ↑","✓")</f>
        <v/>
      </c>
      <c r="Q159" t="n">
        <v>42</v>
      </c>
      <c r="R159" t="inlineStr">
        <is>
          <t>PLACEHOLDER</t>
        </is>
      </c>
    </row>
    <row r="160">
      <c r="A160" t="inlineStr">
        <is>
          <t>P8-LGL-EURO-UNITED-03</t>
        </is>
      </c>
      <c r="B160" t="n">
        <v>8</v>
      </c>
      <c r="C160" t="inlineStr">
        <is>
          <t>Annex A: Legal Pro Bono Support</t>
        </is>
      </c>
      <c r="E160" t="inlineStr">
        <is>
          <t>general</t>
        </is>
      </c>
      <c r="F160" t="inlineStr">
        <is>
          <t>COUNTRY-ENTRY</t>
        </is>
      </c>
      <c r="G160" t="n">
        <v>1</v>
      </c>
      <c r="H160" t="inlineStr">
        <is>
          <t>United Kingdom | Lorem ipsum dolor sit amet consectetur adipiscing elit sed do eiusmod tempor incididunt ut labore et dolore magna</t>
        </is>
      </c>
      <c r="I160" s="123">
        <f>SWITCH(F160,"STEP",25,"INTRO",60,"TIP",35,"WARNING",35,"DECISION-Q",20,"DECISION-A",8,"CHECKLIST",20,"TEMPLATE",120,"CASE",80,"HEADER",10,"DB-REF",40,"MECHANISM-REF",15,"SUBSECTION",12,"FEEDBACK",120,20)</f>
        <v/>
      </c>
      <c r="J160" s="124">
        <f>IF(TRIM(H160)="",0,LEN(TRIM(H160))-LEN(SUBSTITUTE(TRIM(H160)," ",""))+1)</f>
        <v/>
      </c>
      <c r="K160" s="125">
        <f>IF(J160&gt;I160,"OVER ↑","✓")</f>
        <v/>
      </c>
      <c r="Q160" t="n">
        <v>43</v>
      </c>
      <c r="R160" t="inlineStr">
        <is>
          <t>PLACEHOLDER</t>
        </is>
      </c>
    </row>
    <row r="161">
      <c r="A161" t="inlineStr">
        <is>
          <t>P8-LGL-LATIN_-SUB</t>
        </is>
      </c>
      <c r="B161" t="n">
        <v>8</v>
      </c>
      <c r="C161" t="inlineStr">
        <is>
          <t>Annex A: Legal Pro Bono Support</t>
        </is>
      </c>
      <c r="E161" t="inlineStr">
        <is>
          <t>general</t>
        </is>
      </c>
      <c r="F161" t="inlineStr">
        <is>
          <t>SUBSECTION</t>
        </is>
      </c>
      <c r="G161" t="n">
        <v>1</v>
      </c>
      <c r="H161" t="inlineStr">
        <is>
          <t>Latin America &amp; Caribbean</t>
        </is>
      </c>
      <c r="I161" s="123">
        <f>SWITCH(F161,"STEP",25,"INTRO",60,"TIP",35,"WARNING",35,"DECISION-Q",20,"DECISION-A",8,"CHECKLIST",20,"TEMPLATE",120,"CASE",80,"HEADER",10,"DB-REF",40,"MECHANISM-REF",15,"SUBSECTION",12,"FEEDBACK",120,20)</f>
        <v/>
      </c>
      <c r="J161" s="124">
        <f>IF(TRIM(H161)="",0,LEN(TRIM(H161))-LEN(SUBSTITUTE(TRIM(H161)," ",""))+1)</f>
        <v/>
      </c>
      <c r="K161" s="125">
        <f>IF(J161&gt;I161,"OVER ↑","✓")</f>
        <v/>
      </c>
      <c r="Q161" t="n">
        <v>60</v>
      </c>
    </row>
    <row r="162">
      <c r="A162" t="inlineStr">
        <is>
          <t>P8-LGL-LATI-BRAZIL-01</t>
        </is>
      </c>
      <c r="B162" t="n">
        <v>8</v>
      </c>
      <c r="C162" t="inlineStr">
        <is>
          <t>Annex A: Legal Pro Bono Support</t>
        </is>
      </c>
      <c r="E162" t="inlineStr">
        <is>
          <t>general</t>
        </is>
      </c>
      <c r="F162" t="inlineStr">
        <is>
          <t>COUNTRY-ENTRY</t>
        </is>
      </c>
      <c r="G162" t="n">
        <v>1</v>
      </c>
      <c r="H162" t="inlineStr">
        <is>
          <t>Brazil | Lorem ipsum dolor sit amet consectetur adipiscing elit sed do eiusmod tempor incididunt ut labore et dolore magna</t>
        </is>
      </c>
      <c r="I162" s="123">
        <f>SWITCH(F162,"STEP",25,"INTRO",60,"TIP",35,"WARNING",35,"DECISION-Q",20,"DECISION-A",8,"CHECKLIST",20,"TEMPLATE",120,"CASE",80,"HEADER",10,"DB-REF",40,"MECHANISM-REF",15,"SUBSECTION",12,"FEEDBACK",120,20)</f>
        <v/>
      </c>
      <c r="J162" s="124">
        <f>IF(TRIM(H162)="",0,LEN(TRIM(H162))-LEN(SUBSTITUTE(TRIM(H162)," ",""))+1)</f>
        <v/>
      </c>
      <c r="K162" s="125">
        <f>IF(J162&gt;I162,"OVER ↑","✓")</f>
        <v/>
      </c>
      <c r="Q162" t="n">
        <v>61</v>
      </c>
      <c r="R162" t="inlineStr">
        <is>
          <t>PLACEHOLDER</t>
        </is>
      </c>
    </row>
    <row r="163">
      <c r="A163" t="inlineStr">
        <is>
          <t>P8-LGL-LATI-ARGENT-02</t>
        </is>
      </c>
      <c r="B163" t="n">
        <v>8</v>
      </c>
      <c r="C163" t="inlineStr">
        <is>
          <t>Annex A: Legal Pro Bono Support</t>
        </is>
      </c>
      <c r="E163" t="inlineStr">
        <is>
          <t>general</t>
        </is>
      </c>
      <c r="F163" t="inlineStr">
        <is>
          <t>COUNTRY-ENTRY</t>
        </is>
      </c>
      <c r="G163" t="n">
        <v>1</v>
      </c>
      <c r="H163" t="inlineStr">
        <is>
          <t>Argentina | Lorem ipsum dolor sit amet consectetur adipiscing elit sed do eiusmod tempor incididunt ut labore et dolore magna</t>
        </is>
      </c>
      <c r="I163" s="123">
        <f>SWITCH(F163,"STEP",25,"INTRO",60,"TIP",35,"WARNING",35,"DECISION-Q",20,"DECISION-A",8,"CHECKLIST",20,"TEMPLATE",120,"CASE",80,"HEADER",10,"DB-REF",40,"MECHANISM-REF",15,"SUBSECTION",12,"FEEDBACK",120,20)</f>
        <v/>
      </c>
      <c r="J163" s="124">
        <f>IF(TRIM(H163)="",0,LEN(TRIM(H163))-LEN(SUBSTITUTE(TRIM(H163)," ",""))+1)</f>
        <v/>
      </c>
      <c r="K163" s="125">
        <f>IF(J163&gt;I163,"OVER ↑","✓")</f>
        <v/>
      </c>
      <c r="Q163" t="n">
        <v>62</v>
      </c>
      <c r="R163" t="inlineStr">
        <is>
          <t>PLACEHOLDER</t>
        </is>
      </c>
    </row>
    <row r="164">
      <c r="A164" t="inlineStr">
        <is>
          <t>P8-LGL-LATI-COLOMB-03</t>
        </is>
      </c>
      <c r="B164" t="n">
        <v>8</v>
      </c>
      <c r="C164" t="inlineStr">
        <is>
          <t>Annex A: Legal Pro Bono Support</t>
        </is>
      </c>
      <c r="E164" t="inlineStr">
        <is>
          <t>general</t>
        </is>
      </c>
      <c r="F164" t="inlineStr">
        <is>
          <t>COUNTRY-ENTRY</t>
        </is>
      </c>
      <c r="G164" t="n">
        <v>1</v>
      </c>
      <c r="H164" t="inlineStr">
        <is>
          <t>Colombia | Lorem ipsum dolor sit amet consectetur adipiscing elit sed do eiusmod tempor incididunt ut labore et dolore magna</t>
        </is>
      </c>
      <c r="I164" s="123">
        <f>SWITCH(F164,"STEP",25,"INTRO",60,"TIP",35,"WARNING",35,"DECISION-Q",20,"DECISION-A",8,"CHECKLIST",20,"TEMPLATE",120,"CASE",80,"HEADER",10,"DB-REF",40,"MECHANISM-REF",15,"SUBSECTION",12,"FEEDBACK",120,20)</f>
        <v/>
      </c>
      <c r="J164" s="124">
        <f>IF(TRIM(H164)="",0,LEN(TRIM(H164))-LEN(SUBSTITUTE(TRIM(H164)," ",""))+1)</f>
        <v/>
      </c>
      <c r="K164" s="125">
        <f>IF(J164&gt;I164,"OVER ↑","✓")</f>
        <v/>
      </c>
      <c r="Q164" t="n">
        <v>63</v>
      </c>
      <c r="R164" t="inlineStr">
        <is>
          <t>PLACEHOLDER</t>
        </is>
      </c>
    </row>
    <row r="165">
      <c r="A165" t="inlineStr">
        <is>
          <t>P8-LGL-PACIFI-SUB</t>
        </is>
      </c>
      <c r="B165" t="n">
        <v>8</v>
      </c>
      <c r="C165" t="inlineStr">
        <is>
          <t>Annex A: Legal Pro Bono Support</t>
        </is>
      </c>
      <c r="E165" t="inlineStr">
        <is>
          <t>general</t>
        </is>
      </c>
      <c r="F165" t="inlineStr">
        <is>
          <t>SUBSECTION</t>
        </is>
      </c>
      <c r="G165" t="n">
        <v>1</v>
      </c>
      <c r="H165" t="inlineStr">
        <is>
          <t>Pacific</t>
        </is>
      </c>
      <c r="I165" s="123">
        <f>SWITCH(F165,"STEP",25,"INTRO",60,"TIP",35,"WARNING",35,"DECISION-Q",20,"DECISION-A",8,"CHECKLIST",20,"TEMPLATE",120,"CASE",80,"HEADER",10,"DB-REF",40,"MECHANISM-REF",15,"SUBSECTION",12,"FEEDBACK",120,20)</f>
        <v/>
      </c>
      <c r="J165" s="124">
        <f>IF(TRIM(H165)="",0,LEN(TRIM(H165))-LEN(SUBSTITUTE(TRIM(H165)," ",""))+1)</f>
        <v/>
      </c>
      <c r="K165" s="125">
        <f>IF(J165&gt;I165,"OVER ↑","✓")</f>
        <v/>
      </c>
      <c r="Q165" t="n">
        <v>80</v>
      </c>
    </row>
    <row r="166">
      <c r="A166" t="inlineStr">
        <is>
          <t>P8-LGL-PACI-NEWZEA-01</t>
        </is>
      </c>
      <c r="B166" t="n">
        <v>8</v>
      </c>
      <c r="C166" t="inlineStr">
        <is>
          <t>Annex A: Legal Pro Bono Support</t>
        </is>
      </c>
      <c r="E166" t="inlineStr">
        <is>
          <t>general</t>
        </is>
      </c>
      <c r="F166" t="inlineStr">
        <is>
          <t>COUNTRY-ENTRY</t>
        </is>
      </c>
      <c r="G166" t="n">
        <v>1</v>
      </c>
      <c r="H166" t="inlineStr">
        <is>
          <t>New Zealand | Lorem ipsum dolor sit amet consectetur adipiscing elit sed do eiusmod tempor incididunt ut labore et dolore magna</t>
        </is>
      </c>
      <c r="I166" s="123">
        <f>SWITCH(F166,"STEP",25,"INTRO",60,"TIP",35,"WARNING",35,"DECISION-Q",20,"DECISION-A",8,"CHECKLIST",20,"TEMPLATE",120,"CASE",80,"HEADER",10,"DB-REF",40,"MECHANISM-REF",15,"SUBSECTION",12,"FEEDBACK",120,20)</f>
        <v/>
      </c>
      <c r="J166" s="124">
        <f>IF(TRIM(H166)="",0,LEN(TRIM(H166))-LEN(SUBSTITUTE(TRIM(H166)," ",""))+1)</f>
        <v/>
      </c>
      <c r="K166" s="125">
        <f>IF(J166&gt;I166,"OVER ↑","✓")</f>
        <v/>
      </c>
      <c r="Q166" t="n">
        <v>81</v>
      </c>
      <c r="R166" t="inlineStr">
        <is>
          <t>PLACEHOLDER — may also cover Pacific islands</t>
        </is>
      </c>
    </row>
    <row r="167">
      <c r="A167" t="inlineStr">
        <is>
          <t>P8-LGL-PACI-AUSTRA-02</t>
        </is>
      </c>
      <c r="B167" t="n">
        <v>8</v>
      </c>
      <c r="C167" t="inlineStr">
        <is>
          <t>Annex A: Legal Pro Bono Support</t>
        </is>
      </c>
      <c r="E167" t="inlineStr">
        <is>
          <t>general</t>
        </is>
      </c>
      <c r="F167" t="inlineStr">
        <is>
          <t>COUNTRY-ENTRY</t>
        </is>
      </c>
      <c r="G167" t="n">
        <v>1</v>
      </c>
      <c r="H167" t="inlineStr">
        <is>
          <t>Australia | Lorem ipsum dolor sit amet consectetur adipiscing elit sed do eiusmod tempor incididunt ut labore et dolore magna</t>
        </is>
      </c>
      <c r="I167" s="123">
        <f>SWITCH(F167,"STEP",25,"INTRO",60,"TIP",35,"WARNING",35,"DECISION-Q",20,"DECISION-A",8,"CHECKLIST",20,"TEMPLATE",120,"CASE",80,"HEADER",10,"DB-REF",40,"MECHANISM-REF",15,"SUBSECTION",12,"FEEDBACK",120,20)</f>
        <v/>
      </c>
      <c r="J167" s="124">
        <f>IF(TRIM(H167)="",0,LEN(TRIM(H167))-LEN(SUBSTITUTE(TRIM(H167)," ",""))+1)</f>
        <v/>
      </c>
      <c r="K167" s="125">
        <f>IF(J167&gt;I167,"OVER ↑","✓")</f>
        <v/>
      </c>
      <c r="Q167" t="n">
        <v>82</v>
      </c>
      <c r="R167" t="inlineStr">
        <is>
          <t>PLACEHOLDER — ACFID network adjacent</t>
        </is>
      </c>
    </row>
    <row r="168">
      <c r="A168" t="inlineStr">
        <is>
          <t>P8-FND-INTRO-001</t>
        </is>
      </c>
      <c r="B168" t="n">
        <v>8</v>
      </c>
      <c r="C168" t="inlineStr">
        <is>
          <t>Annex B: Emergency Grants Mechanisms</t>
        </is>
      </c>
      <c r="E168" t="inlineStr">
        <is>
          <t>general</t>
        </is>
      </c>
      <c r="F168" t="inlineStr">
        <is>
          <t>INTRO</t>
        </is>
      </c>
      <c r="G168" t="n">
        <v>1</v>
      </c>
      <c r="H168" t="inlineStr">
        <is>
          <t>Lorem ipsum dolor sit amet consectetur adipiscing elit sed do eiusmod tempor incididunt ut labore et dolore magna aliqua ut enim ad minim veniam Lorem ipsum dolor sit amet consectetur adipiscing elit sed do eiusmod tempor incididunt ut labore et dolore magna aliqua ut enim</t>
        </is>
      </c>
      <c r="I168" s="123">
        <f>SWITCH(F168,"STEP",25,"INTRO",60,"TIP",35,"WARNING",35,"DECISION-Q",20,"DECISION-A",8,"CHECKLIST",20,"TEMPLATE",120,"CASE",80,"HEADER",10,"DB-REF",40,"MECHANISM-REF",15,"SUBSECTION",12,"FEEDBACK",120,20)</f>
        <v/>
      </c>
      <c r="J168" s="124">
        <f>IF(TRIM(H168)="",0,LEN(TRIM(H168))-LEN(SUBSTITUTE(TRIM(H168)," ",""))+1)</f>
        <v/>
      </c>
      <c r="K168" s="125">
        <f>IF(J168&gt;I168,"OVER ↑","✓")</f>
        <v/>
      </c>
      <c r="Q168" t="n">
        <v>0</v>
      </c>
      <c r="R168" t="inlineStr">
        <is>
          <t>Overview of emergency grants annex — global, regional and country-level mechanisms</t>
        </is>
      </c>
    </row>
    <row r="169">
      <c r="A169" t="inlineStr">
        <is>
          <t>P8-FND-AFRICA-SUB</t>
        </is>
      </c>
      <c r="B169" t="n">
        <v>8</v>
      </c>
      <c r="C169" t="inlineStr">
        <is>
          <t>Annex B: Emergency Grants Mechanisms</t>
        </is>
      </c>
      <c r="E169" t="inlineStr">
        <is>
          <t>general</t>
        </is>
      </c>
      <c r="F169" t="inlineStr">
        <is>
          <t>SUBSECTION</t>
        </is>
      </c>
      <c r="G169" t="n">
        <v>1</v>
      </c>
      <c r="H169" t="inlineStr">
        <is>
          <t>Africa</t>
        </is>
      </c>
      <c r="I169" s="123">
        <f>SWITCH(F169,"STEP",25,"INTRO",60,"TIP",35,"WARNING",35,"DECISION-Q",20,"DECISION-A",8,"CHECKLIST",20,"TEMPLATE",120,"CASE",80,"HEADER",10,"DB-REF",40,"MECHANISM-REF",15,"SUBSECTION",12,"FEEDBACK",120,20)</f>
        <v/>
      </c>
      <c r="J169" s="124">
        <f>IF(TRIM(H169)="",0,LEN(TRIM(H169))-LEN(SUBSTITUTE(TRIM(H169)," ",""))+1)</f>
        <v/>
      </c>
      <c r="K169" s="125">
        <f>IF(J169&gt;I169,"OVER ↑","✓")</f>
        <v/>
      </c>
      <c r="Q169" t="n">
        <v>0</v>
      </c>
    </row>
    <row r="170">
      <c r="A170" t="inlineStr">
        <is>
          <t>P8-FND-AFRI-NIGERI-01</t>
        </is>
      </c>
      <c r="B170" t="n">
        <v>8</v>
      </c>
      <c r="C170" t="inlineStr">
        <is>
          <t>Annex B: Emergency Grants Mechanisms</t>
        </is>
      </c>
      <c r="E170" t="inlineStr">
        <is>
          <t>general</t>
        </is>
      </c>
      <c r="F170" t="inlineStr">
        <is>
          <t>COUNTRY-ENTRY</t>
        </is>
      </c>
      <c r="G170" t="n">
        <v>1</v>
      </c>
      <c r="H170" t="inlineStr">
        <is>
          <t>Nigeria | Lorem ipsum dolor sit amet consectetur adipiscing elit sed do eiusmod tempor incididunt ut labore et dolore magna</t>
        </is>
      </c>
      <c r="I170" s="123">
        <f>SWITCH(F170,"STEP",25,"INTRO",60,"TIP",35,"WARNING",35,"DECISION-Q",20,"DECISION-A",8,"CHECKLIST",20,"TEMPLATE",120,"CASE",80,"HEADER",10,"DB-REF",40,"MECHANISM-REF",15,"SUBSECTION",12,"FEEDBACK",120,20)</f>
        <v/>
      </c>
      <c r="J170" s="124">
        <f>IF(TRIM(H170)="",0,LEN(TRIM(H170))-LEN(SUBSTITUTE(TRIM(H170)," ",""))+1)</f>
        <v/>
      </c>
      <c r="K170" s="125">
        <f>IF(J170&gt;I170,"OVER ↑","✓")</f>
        <v/>
      </c>
      <c r="Q170" t="n">
        <v>1</v>
      </c>
      <c r="R170" t="inlineStr">
        <is>
          <t>PLACEHOLDER</t>
        </is>
      </c>
    </row>
    <row r="171">
      <c r="A171" t="inlineStr">
        <is>
          <t>P8-FND-AFRI-KENYA-02</t>
        </is>
      </c>
      <c r="B171" t="n">
        <v>8</v>
      </c>
      <c r="C171" t="inlineStr">
        <is>
          <t>Annex B: Emergency Grants Mechanisms</t>
        </is>
      </c>
      <c r="E171" t="inlineStr">
        <is>
          <t>general</t>
        </is>
      </c>
      <c r="F171" t="inlineStr">
        <is>
          <t>COUNTRY-ENTRY</t>
        </is>
      </c>
      <c r="G171" t="n">
        <v>1</v>
      </c>
      <c r="H171" t="inlineStr">
        <is>
          <t>Kenya | Lorem ipsum dolor sit amet consectetur adipiscing elit sed do eiusmod tempor incididunt ut labore et dolore magna</t>
        </is>
      </c>
      <c r="I171" s="123">
        <f>SWITCH(F171,"STEP",25,"INTRO",60,"TIP",35,"WARNING",35,"DECISION-Q",20,"DECISION-A",8,"CHECKLIST",20,"TEMPLATE",120,"CASE",80,"HEADER",10,"DB-REF",40,"MECHANISM-REF",15,"SUBSECTION",12,"FEEDBACK",120,20)</f>
        <v/>
      </c>
      <c r="J171" s="124">
        <f>IF(TRIM(H171)="",0,LEN(TRIM(H171))-LEN(SUBSTITUTE(TRIM(H171)," ",""))+1)</f>
        <v/>
      </c>
      <c r="K171" s="125">
        <f>IF(J171&gt;I171,"OVER ↑","✓")</f>
        <v/>
      </c>
      <c r="Q171" t="n">
        <v>2</v>
      </c>
      <c r="R171" t="inlineStr">
        <is>
          <t>PLACEHOLDER</t>
        </is>
      </c>
    </row>
    <row r="172">
      <c r="A172" t="inlineStr">
        <is>
          <t>P8-FND-ASIA-P-SUB</t>
        </is>
      </c>
      <c r="B172" t="n">
        <v>8</v>
      </c>
      <c r="C172" t="inlineStr">
        <is>
          <t>Annex B: Emergency Grants Mechanisms</t>
        </is>
      </c>
      <c r="E172" t="inlineStr">
        <is>
          <t>general</t>
        </is>
      </c>
      <c r="F172" t="inlineStr">
        <is>
          <t>SUBSECTION</t>
        </is>
      </c>
      <c r="G172" t="n">
        <v>1</v>
      </c>
      <c r="H172" t="inlineStr">
        <is>
          <t>Asia-Pacific</t>
        </is>
      </c>
      <c r="I172" s="123">
        <f>SWITCH(F172,"STEP",25,"INTRO",60,"TIP",35,"WARNING",35,"DECISION-Q",20,"DECISION-A",8,"CHECKLIST",20,"TEMPLATE",120,"CASE",80,"HEADER",10,"DB-REF",40,"MECHANISM-REF",15,"SUBSECTION",12,"FEEDBACK",120,20)</f>
        <v/>
      </c>
      <c r="J172" s="124">
        <f>IF(TRIM(H172)="",0,LEN(TRIM(H172))-LEN(SUBSTITUTE(TRIM(H172)," ",""))+1)</f>
        <v/>
      </c>
      <c r="K172" s="125">
        <f>IF(J172&gt;I172,"OVER ↑","✓")</f>
        <v/>
      </c>
      <c r="Q172" t="n">
        <v>20</v>
      </c>
    </row>
    <row r="173">
      <c r="A173" t="inlineStr">
        <is>
          <t>P8-FND-ASIA-INDONE-01</t>
        </is>
      </c>
      <c r="B173" t="n">
        <v>8</v>
      </c>
      <c r="C173" t="inlineStr">
        <is>
          <t>Annex B: Emergency Grants Mechanisms</t>
        </is>
      </c>
      <c r="E173" t="inlineStr">
        <is>
          <t>general</t>
        </is>
      </c>
      <c r="F173" t="inlineStr">
        <is>
          <t>COUNTRY-ENTRY</t>
        </is>
      </c>
      <c r="G173" t="n">
        <v>1</v>
      </c>
      <c r="H173" t="inlineStr">
        <is>
          <t>Indonesia | Lorem ipsum dolor sit amet consectetur adipiscing elit sed do eiusmod tempor incididunt ut labore et dolore magna</t>
        </is>
      </c>
      <c r="I173" s="123">
        <f>SWITCH(F173,"STEP",25,"INTRO",60,"TIP",35,"WARNING",35,"DECISION-Q",20,"DECISION-A",8,"CHECKLIST",20,"TEMPLATE",120,"CASE",80,"HEADER",10,"DB-REF",40,"MECHANISM-REF",15,"SUBSECTION",12,"FEEDBACK",120,20)</f>
        <v/>
      </c>
      <c r="J173" s="124">
        <f>IF(TRIM(H173)="",0,LEN(TRIM(H173))-LEN(SUBSTITUTE(TRIM(H173)," ",""))+1)</f>
        <v/>
      </c>
      <c r="K173" s="125">
        <f>IF(J173&gt;I173,"OVER ↑","✓")</f>
        <v/>
      </c>
      <c r="Q173" t="n">
        <v>21</v>
      </c>
      <c r="R173" t="inlineStr">
        <is>
          <t>PLACEHOLDER</t>
        </is>
      </c>
    </row>
    <row r="174">
      <c r="A174" t="inlineStr">
        <is>
          <t>P8-FND-ASIA-PHILIP-02</t>
        </is>
      </c>
      <c r="B174" t="n">
        <v>8</v>
      </c>
      <c r="C174" t="inlineStr">
        <is>
          <t>Annex B: Emergency Grants Mechanisms</t>
        </is>
      </c>
      <c r="E174" t="inlineStr">
        <is>
          <t>general</t>
        </is>
      </c>
      <c r="F174" t="inlineStr">
        <is>
          <t>COUNTRY-ENTRY</t>
        </is>
      </c>
      <c r="G174" t="n">
        <v>1</v>
      </c>
      <c r="H174" t="inlineStr">
        <is>
          <t>Philippines | Lorem ipsum dolor sit amet consectetur adipiscing elit sed do eiusmod tempor incididunt ut labore et dolore magna</t>
        </is>
      </c>
      <c r="I174" s="123">
        <f>SWITCH(F174,"STEP",25,"INTRO",60,"TIP",35,"WARNING",35,"DECISION-Q",20,"DECISION-A",8,"CHECKLIST",20,"TEMPLATE",120,"CASE",80,"HEADER",10,"DB-REF",40,"MECHANISM-REF",15,"SUBSECTION",12,"FEEDBACK",120,20)</f>
        <v/>
      </c>
      <c r="J174" s="124">
        <f>IF(TRIM(H174)="",0,LEN(TRIM(H174))-LEN(SUBSTITUTE(TRIM(H174)," ",""))+1)</f>
        <v/>
      </c>
      <c r="K174" s="125">
        <f>IF(J174&gt;I174,"OVER ↑","✓")</f>
        <v/>
      </c>
      <c r="Q174" t="n">
        <v>22</v>
      </c>
      <c r="R174" t="inlineStr">
        <is>
          <t>PLACEHOLDER</t>
        </is>
      </c>
    </row>
    <row r="175">
      <c r="A175" t="inlineStr">
        <is>
          <t>P8-FND-EUROPE-SUB</t>
        </is>
      </c>
      <c r="B175" t="n">
        <v>8</v>
      </c>
      <c r="C175" t="inlineStr">
        <is>
          <t>Annex B: Emergency Grants Mechanisms</t>
        </is>
      </c>
      <c r="E175" t="inlineStr">
        <is>
          <t>general</t>
        </is>
      </c>
      <c r="F175" t="inlineStr">
        <is>
          <t>SUBSECTION</t>
        </is>
      </c>
      <c r="G175" t="n">
        <v>1</v>
      </c>
      <c r="H175" t="inlineStr">
        <is>
          <t>Europe</t>
        </is>
      </c>
      <c r="I175" s="123">
        <f>SWITCH(F175,"STEP",25,"INTRO",60,"TIP",35,"WARNING",35,"DECISION-Q",20,"DECISION-A",8,"CHECKLIST",20,"TEMPLATE",120,"CASE",80,"HEADER",10,"DB-REF",40,"MECHANISM-REF",15,"SUBSECTION",12,"FEEDBACK",120,20)</f>
        <v/>
      </c>
      <c r="J175" s="124">
        <f>IF(TRIM(H175)="",0,LEN(TRIM(H175))-LEN(SUBSTITUTE(TRIM(H175)," ",""))+1)</f>
        <v/>
      </c>
      <c r="K175" s="125">
        <f>IF(J175&gt;I175,"OVER ↑","✓")</f>
        <v/>
      </c>
      <c r="Q175" t="n">
        <v>40</v>
      </c>
    </row>
    <row r="176">
      <c r="A176" t="inlineStr">
        <is>
          <t>P8-FND-EURO-EUROPE-01</t>
        </is>
      </c>
      <c r="B176" t="n">
        <v>8</v>
      </c>
      <c r="C176" t="inlineStr">
        <is>
          <t>Annex B: Emergency Grants Mechanisms</t>
        </is>
      </c>
      <c r="E176" t="inlineStr">
        <is>
          <t>general</t>
        </is>
      </c>
      <c r="F176" t="inlineStr">
        <is>
          <t>COUNTRY-ENTRY</t>
        </is>
      </c>
      <c r="G176" t="n">
        <v>1</v>
      </c>
      <c r="H176" t="inlineStr">
        <is>
          <t>European Union | Lorem ipsum dolor sit amet consectetur adipiscing elit sed do eiusmod tempor incididunt ut labore et dolore magna</t>
        </is>
      </c>
      <c r="I176" s="123">
        <f>SWITCH(F176,"STEP",25,"INTRO",60,"TIP",35,"WARNING",35,"DECISION-Q",20,"DECISION-A",8,"CHECKLIST",20,"TEMPLATE",120,"CASE",80,"HEADER",10,"DB-REF",40,"MECHANISM-REF",15,"SUBSECTION",12,"FEEDBACK",120,20)</f>
        <v/>
      </c>
      <c r="J176" s="124">
        <f>IF(TRIM(H176)="",0,LEN(TRIM(H176))-LEN(SUBSTITUTE(TRIM(H176)," ",""))+1)</f>
        <v/>
      </c>
      <c r="K176" s="125">
        <f>IF(J176&gt;I176,"OVER ↑","✓")</f>
        <v/>
      </c>
      <c r="Q176" t="n">
        <v>41</v>
      </c>
      <c r="R176" t="inlineStr">
        <is>
          <t>PLACEHOLDER — EU-level mechanisms</t>
        </is>
      </c>
    </row>
    <row r="177">
      <c r="A177" t="inlineStr">
        <is>
          <t>P8-FND-EURO-UNITED-02</t>
        </is>
      </c>
      <c r="B177" t="n">
        <v>8</v>
      </c>
      <c r="C177" t="inlineStr">
        <is>
          <t>Annex B: Emergency Grants Mechanisms</t>
        </is>
      </c>
      <c r="E177" t="inlineStr">
        <is>
          <t>general</t>
        </is>
      </c>
      <c r="F177" t="inlineStr">
        <is>
          <t>COUNTRY-ENTRY</t>
        </is>
      </c>
      <c r="G177" t="n">
        <v>1</v>
      </c>
      <c r="H177" t="inlineStr">
        <is>
          <t>United Kingdom | Lorem ipsum dolor sit amet consectetur adipiscing elit sed do eiusmod tempor incididunt ut labore et dolore magna</t>
        </is>
      </c>
      <c r="I177" s="123">
        <f>SWITCH(F177,"STEP",25,"INTRO",60,"TIP",35,"WARNING",35,"DECISION-Q",20,"DECISION-A",8,"CHECKLIST",20,"TEMPLATE",120,"CASE",80,"HEADER",10,"DB-REF",40,"MECHANISM-REF",15,"SUBSECTION",12,"FEEDBACK",120,20)</f>
        <v/>
      </c>
      <c r="J177" s="124">
        <f>IF(TRIM(H177)="",0,LEN(TRIM(H177))-LEN(SUBSTITUTE(TRIM(H177)," ",""))+1)</f>
        <v/>
      </c>
      <c r="K177" s="125">
        <f>IF(J177&gt;I177,"OVER ↑","✓")</f>
        <v/>
      </c>
      <c r="Q177" t="n">
        <v>42</v>
      </c>
      <c r="R177" t="inlineStr">
        <is>
          <t>PLACEHOLDER</t>
        </is>
      </c>
    </row>
    <row r="178">
      <c r="A178" t="inlineStr">
        <is>
          <t>P8-FND-LATIN_-SUB</t>
        </is>
      </c>
      <c r="B178" t="n">
        <v>8</v>
      </c>
      <c r="C178" t="inlineStr">
        <is>
          <t>Annex B: Emergency Grants Mechanisms</t>
        </is>
      </c>
      <c r="E178" t="inlineStr">
        <is>
          <t>general</t>
        </is>
      </c>
      <c r="F178" t="inlineStr">
        <is>
          <t>SUBSECTION</t>
        </is>
      </c>
      <c r="G178" t="n">
        <v>1</v>
      </c>
      <c r="H178" t="inlineStr">
        <is>
          <t>Latin America &amp; Caribbean</t>
        </is>
      </c>
      <c r="I178" s="123">
        <f>SWITCH(F178,"STEP",25,"INTRO",60,"TIP",35,"WARNING",35,"DECISION-Q",20,"DECISION-A",8,"CHECKLIST",20,"TEMPLATE",120,"CASE",80,"HEADER",10,"DB-REF",40,"MECHANISM-REF",15,"SUBSECTION",12,"FEEDBACK",120,20)</f>
        <v/>
      </c>
      <c r="J178" s="124">
        <f>IF(TRIM(H178)="",0,LEN(TRIM(H178))-LEN(SUBSTITUTE(TRIM(H178)," ",""))+1)</f>
        <v/>
      </c>
      <c r="K178" s="125">
        <f>IF(J178&gt;I178,"OVER ↑","✓")</f>
        <v/>
      </c>
      <c r="Q178" t="n">
        <v>60</v>
      </c>
    </row>
    <row r="179">
      <c r="A179" t="inlineStr">
        <is>
          <t>P8-FND-LATI-BRAZIL-01</t>
        </is>
      </c>
      <c r="B179" t="n">
        <v>8</v>
      </c>
      <c r="C179" t="inlineStr">
        <is>
          <t>Annex B: Emergency Grants Mechanisms</t>
        </is>
      </c>
      <c r="E179" t="inlineStr">
        <is>
          <t>general</t>
        </is>
      </c>
      <c r="F179" t="inlineStr">
        <is>
          <t>COUNTRY-ENTRY</t>
        </is>
      </c>
      <c r="G179" t="n">
        <v>1</v>
      </c>
      <c r="H179" t="inlineStr">
        <is>
          <t>Brazil | Lorem ipsum dolor sit amet consectetur adipiscing elit sed do eiusmod tempor incididunt ut labore et dolore magna</t>
        </is>
      </c>
      <c r="I179" s="123">
        <f>SWITCH(F179,"STEP",25,"INTRO",60,"TIP",35,"WARNING",35,"DECISION-Q",20,"DECISION-A",8,"CHECKLIST",20,"TEMPLATE",120,"CASE",80,"HEADER",10,"DB-REF",40,"MECHANISM-REF",15,"SUBSECTION",12,"FEEDBACK",120,20)</f>
        <v/>
      </c>
      <c r="J179" s="124">
        <f>IF(TRIM(H179)="",0,LEN(TRIM(H179))-LEN(SUBSTITUTE(TRIM(H179)," ",""))+1)</f>
        <v/>
      </c>
      <c r="K179" s="125">
        <f>IF(J179&gt;I179,"OVER ↑","✓")</f>
        <v/>
      </c>
      <c r="Q179" t="n">
        <v>61</v>
      </c>
      <c r="R179" t="inlineStr">
        <is>
          <t>PLACEHOLDER</t>
        </is>
      </c>
    </row>
    <row r="180">
      <c r="A180" t="inlineStr">
        <is>
          <t>P8-FND-LATI-MEXICO-02</t>
        </is>
      </c>
      <c r="B180" t="n">
        <v>8</v>
      </c>
      <c r="C180" t="inlineStr">
        <is>
          <t>Annex B: Emergency Grants Mechanisms</t>
        </is>
      </c>
      <c r="E180" t="inlineStr">
        <is>
          <t>general</t>
        </is>
      </c>
      <c r="F180" t="inlineStr">
        <is>
          <t>COUNTRY-ENTRY</t>
        </is>
      </c>
      <c r="G180" t="n">
        <v>1</v>
      </c>
      <c r="H180" t="inlineStr">
        <is>
          <t>Mexico | Lorem ipsum dolor sit amet consectetur adipiscing elit sed do eiusmod tempor incididunt ut labore et dolore magna</t>
        </is>
      </c>
      <c r="I180" s="123">
        <f>SWITCH(F180,"STEP",25,"INTRO",60,"TIP",35,"WARNING",35,"DECISION-Q",20,"DECISION-A",8,"CHECKLIST",20,"TEMPLATE",120,"CASE",80,"HEADER",10,"DB-REF",40,"MECHANISM-REF",15,"SUBSECTION",12,"FEEDBACK",120,20)</f>
        <v/>
      </c>
      <c r="J180" s="124">
        <f>IF(TRIM(H180)="",0,LEN(TRIM(H180))-LEN(SUBSTITUTE(TRIM(H180)," ",""))+1)</f>
        <v/>
      </c>
      <c r="K180" s="125">
        <f>IF(J180&gt;I180,"OVER ↑","✓")</f>
        <v/>
      </c>
      <c r="Q180" t="n">
        <v>62</v>
      </c>
      <c r="R180" t="inlineStr">
        <is>
          <t>PLACEHOLDER</t>
        </is>
      </c>
    </row>
    <row r="181">
      <c r="A181" t="inlineStr">
        <is>
          <t>P8-FND-PACIFI-SUB</t>
        </is>
      </c>
      <c r="B181" t="n">
        <v>8</v>
      </c>
      <c r="C181" t="inlineStr">
        <is>
          <t>Annex B: Emergency Grants Mechanisms</t>
        </is>
      </c>
      <c r="E181" t="inlineStr">
        <is>
          <t>general</t>
        </is>
      </c>
      <c r="F181" t="inlineStr">
        <is>
          <t>SUBSECTION</t>
        </is>
      </c>
      <c r="G181" t="n">
        <v>1</v>
      </c>
      <c r="H181" t="inlineStr">
        <is>
          <t>Pacific</t>
        </is>
      </c>
      <c r="I181" s="123">
        <f>SWITCH(F181,"STEP",25,"INTRO",60,"TIP",35,"WARNING",35,"DECISION-Q",20,"DECISION-A",8,"CHECKLIST",20,"TEMPLATE",120,"CASE",80,"HEADER",10,"DB-REF",40,"MECHANISM-REF",15,"SUBSECTION",12,"FEEDBACK",120,20)</f>
        <v/>
      </c>
      <c r="J181" s="124">
        <f>IF(TRIM(H181)="",0,LEN(TRIM(H181))-LEN(SUBSTITUTE(TRIM(H181)," ",""))+1)</f>
        <v/>
      </c>
      <c r="K181" s="125">
        <f>IF(J181&gt;I181,"OVER ↑","✓")</f>
        <v/>
      </c>
      <c r="Q181" t="n">
        <v>80</v>
      </c>
    </row>
    <row r="182">
      <c r="A182" t="inlineStr">
        <is>
          <t>P8-FND-PACI-PACIFI-01</t>
        </is>
      </c>
      <c r="B182" t="n">
        <v>8</v>
      </c>
      <c r="C182" t="inlineStr">
        <is>
          <t>Annex B: Emergency Grants Mechanisms</t>
        </is>
      </c>
      <c r="E182" t="inlineStr">
        <is>
          <t>general</t>
        </is>
      </c>
      <c r="F182" t="inlineStr">
        <is>
          <t>COUNTRY-ENTRY</t>
        </is>
      </c>
      <c r="G182" t="n">
        <v>1</v>
      </c>
      <c r="H182" t="inlineStr">
        <is>
          <t>Pacific region | Lorem ipsum dolor sit amet consectetur adipiscing elit sed do eiusmod tempor incididunt ut labore et dolore magna</t>
        </is>
      </c>
      <c r="I182" s="123">
        <f>SWITCH(F182,"STEP",25,"INTRO",60,"TIP",35,"WARNING",35,"DECISION-Q",20,"DECISION-A",8,"CHECKLIST",20,"TEMPLATE",120,"CASE",80,"HEADER",10,"DB-REF",40,"MECHANISM-REF",15,"SUBSECTION",12,"FEEDBACK",120,20)</f>
        <v/>
      </c>
      <c r="J182" s="124">
        <f>IF(TRIM(H182)="",0,LEN(TRIM(H182))-LEN(SUBSTITUTE(TRIM(H182)," ",""))+1)</f>
        <v/>
      </c>
      <c r="K182" s="125">
        <f>IF(J182&gt;I182,"OVER ↑","✓")</f>
        <v/>
      </c>
      <c r="Q182" t="n">
        <v>81</v>
      </c>
      <c r="R182" t="inlineStr">
        <is>
          <t>PLACEHOLDER — regional mechanisms</t>
        </is>
      </c>
    </row>
    <row r="183">
      <c r="A183" t="inlineStr">
        <is>
          <t>P5-REGION-NAV-001</t>
        </is>
      </c>
      <c r="B183" t="n">
        <v>5</v>
      </c>
      <c r="C183" t="inlineStr">
        <is>
          <t>5. Safe Advocacy &amp; Comms</t>
        </is>
      </c>
      <c r="E183" t="inlineStr">
        <is>
          <t>general</t>
        </is>
      </c>
      <c r="F183" t="inlineStr">
        <is>
          <t>REGION-NAV</t>
        </is>
      </c>
      <c r="G183" t="n">
        <v>1</v>
      </c>
      <c r="H183" t="inlineStr">
        <is>
          <t>Africa | Asia-Pacific | Europe | Latin America &amp; Caribbean | Pacific | Global</t>
        </is>
      </c>
      <c r="I183" s="123">
        <f>SWITCH(F183,"STEP",25,"INTRO",60,"TIP",35,"WARNING",35,"DECISION-Q",20,"DECISION-A",8,"CHECKLIST",20,"TEMPLATE",120,"CASE",80,"HEADER",10,"DB-REF",40,"MECHANISM-REF",15,"SUBSECTION",12,"FEEDBACK",120,20)</f>
        <v/>
      </c>
      <c r="J183" s="124">
        <f>IF(TRIM(H183)="",0,LEN(TRIM(H183))-LEN(SUBSTITUTE(TRIM(H183)," ",""))+1)</f>
        <v/>
      </c>
      <c r="K183" s="125">
        <f>IF(J183&gt;I183,"OVER ↑","✓")</f>
        <v/>
      </c>
      <c r="Q183" t="n">
        <v>98</v>
      </c>
      <c r="R183" t="inlineStr">
        <is>
          <t>Links to Annex C regional sections for physical &amp; digital security providers</t>
        </is>
      </c>
    </row>
    <row r="184">
      <c r="A184" t="inlineStr">
        <is>
          <t>P8-SEC-INTRO-001</t>
        </is>
      </c>
      <c r="B184" t="n">
        <v>8</v>
      </c>
      <c r="C184" t="inlineStr">
        <is>
          <t>Annex C: Physical &amp; Digital Security Support</t>
        </is>
      </c>
      <c r="E184" t="inlineStr">
        <is>
          <t>general</t>
        </is>
      </c>
      <c r="F184" t="inlineStr">
        <is>
          <t>INTRO</t>
        </is>
      </c>
      <c r="G184" t="n">
        <v>1</v>
      </c>
      <c r="H184" t="inlineStr">
        <is>
          <t>Lorem ipsum dolor sit amet consectetur adipiscing elit sed do eiusmod tempor incididunt ut labore et dolore magna aliqua ut enim ad minim veniam Lorem ipsum dolor sit amet consectetur adipiscing elit sed do eiusmod tempor incididunt ut labore et dolore magna aliqua ut enim</t>
        </is>
      </c>
      <c r="I184" s="123">
        <f>SWITCH(F184,"STEP",25,"INTRO",60,"TIP",35,"WARNING",35,"DECISION-Q",20,"DECISION-A",8,"CHECKLIST",20,"TEMPLATE",120,"CASE",80,"HEADER",10,"DB-REF",40,"MECHANISM-REF",15,"SUBSECTION",12,"FEEDBACK",120,20)</f>
        <v/>
      </c>
      <c r="J184" s="124">
        <f>IF(TRIM(H184)="",0,LEN(TRIM(H184))-LEN(SUBSTITUTE(TRIM(H184)," ",""))+1)</f>
        <v/>
      </c>
      <c r="K184" s="125">
        <f>IF(J184&gt;I184,"OVER ↑","✓")</f>
        <v/>
      </c>
      <c r="Q184" t="n">
        <v>0</v>
      </c>
      <c r="R184" t="inlineStr">
        <is>
          <t>Overview of Annex C — physical and digital security providers by region, including Access Now Digital Security Helpline and regional partners</t>
        </is>
      </c>
    </row>
    <row r="185">
      <c r="A185" t="inlineStr">
        <is>
          <t>P8-SEC-AFRICA-SUB</t>
        </is>
      </c>
      <c r="B185" t="n">
        <v>8</v>
      </c>
      <c r="C185" t="inlineStr">
        <is>
          <t>Annex C: Physical &amp; Digital Security Support</t>
        </is>
      </c>
      <c r="E185" t="inlineStr">
        <is>
          <t>general</t>
        </is>
      </c>
      <c r="F185" t="inlineStr">
        <is>
          <t>SUBSECTION</t>
        </is>
      </c>
      <c r="G185" t="n">
        <v>1</v>
      </c>
      <c r="H185" t="inlineStr">
        <is>
          <t>Africa</t>
        </is>
      </c>
      <c r="I185" s="123">
        <f>SWITCH(F185,"STEP",25,"INTRO",60,"TIP",35,"WARNING",35,"DECISION-Q",20,"DECISION-A",8,"CHECKLIST",20,"TEMPLATE",120,"CASE",80,"HEADER",10,"DB-REF",40,"MECHANISM-REF",15,"SUBSECTION",12,"FEEDBACK",120,20)</f>
        <v/>
      </c>
      <c r="J185" s="124">
        <f>IF(TRIM(H185)="",0,LEN(TRIM(H185))-LEN(SUBSTITUTE(TRIM(H185)," ",""))+1)</f>
        <v/>
      </c>
      <c r="K185" s="125">
        <f>IF(J185&gt;I185,"OVER ↑","✓")</f>
        <v/>
      </c>
      <c r="Q185" t="n">
        <v>0</v>
      </c>
    </row>
    <row r="186">
      <c r="A186" t="inlineStr">
        <is>
          <t>P8-SEC-AFRI-NIGERI-01</t>
        </is>
      </c>
      <c r="B186" t="n">
        <v>8</v>
      </c>
      <c r="C186" t="inlineStr">
        <is>
          <t>Annex C: Physical &amp; Digital Security Support</t>
        </is>
      </c>
      <c r="E186" t="inlineStr">
        <is>
          <t>general</t>
        </is>
      </c>
      <c r="F186" t="inlineStr">
        <is>
          <t>COUNTRY-ENTRY</t>
        </is>
      </c>
      <c r="G186" t="n">
        <v>1</v>
      </c>
      <c r="H186" t="inlineStr">
        <is>
          <t>Nigeria | Lorem ipsum dolor sit amet consectetur adipiscing elit sed do eiusmod tempor incididunt ut labore et dolore magna</t>
        </is>
      </c>
      <c r="I186" s="123">
        <f>SWITCH(F186,"STEP",25,"INTRO",60,"TIP",35,"WARNING",35,"DECISION-Q",20,"DECISION-A",8,"CHECKLIST",20,"TEMPLATE",120,"CASE",80,"HEADER",10,"DB-REF",40,"MECHANISM-REF",15,"SUBSECTION",12,"FEEDBACK",120,20)</f>
        <v/>
      </c>
      <c r="J186" s="124">
        <f>IF(TRIM(H186)="",0,LEN(TRIM(H186))-LEN(SUBSTITUTE(TRIM(H186)," ",""))+1)</f>
        <v/>
      </c>
      <c r="K186" s="125">
        <f>IF(J186&gt;I186,"OVER ↑","✓")</f>
        <v/>
      </c>
      <c r="Q186" t="n">
        <v>1</v>
      </c>
      <c r="R186" t="inlineStr">
        <is>
          <t>PLACEHOLDER — digital &amp; physical security contacts</t>
        </is>
      </c>
    </row>
    <row r="187">
      <c r="A187" t="inlineStr">
        <is>
          <t>P8-SEC-AFRI-KENYA-02</t>
        </is>
      </c>
      <c r="B187" t="n">
        <v>8</v>
      </c>
      <c r="C187" t="inlineStr">
        <is>
          <t>Annex C: Physical &amp; Digital Security Support</t>
        </is>
      </c>
      <c r="E187" t="inlineStr">
        <is>
          <t>general</t>
        </is>
      </c>
      <c r="F187" t="inlineStr">
        <is>
          <t>COUNTRY-ENTRY</t>
        </is>
      </c>
      <c r="G187" t="n">
        <v>1</v>
      </c>
      <c r="H187" t="inlineStr">
        <is>
          <t>Kenya | Lorem ipsum dolor sit amet consectetur adipiscing elit sed do eiusmod tempor incididunt ut labore et dolore magna</t>
        </is>
      </c>
      <c r="I187" s="123">
        <f>SWITCH(F187,"STEP",25,"INTRO",60,"TIP",35,"WARNING",35,"DECISION-Q",20,"DECISION-A",8,"CHECKLIST",20,"TEMPLATE",120,"CASE",80,"HEADER",10,"DB-REF",40,"MECHANISM-REF",15,"SUBSECTION",12,"FEEDBACK",120,20)</f>
        <v/>
      </c>
      <c r="J187" s="124">
        <f>IF(TRIM(H187)="",0,LEN(TRIM(H187))-LEN(SUBSTITUTE(TRIM(H187)," ",""))+1)</f>
        <v/>
      </c>
      <c r="K187" s="125">
        <f>IF(J187&gt;I187,"OVER ↑","✓")</f>
        <v/>
      </c>
      <c r="Q187" t="n">
        <v>2</v>
      </c>
      <c r="R187" t="inlineStr">
        <is>
          <t>PLACEHOLDER — digital &amp; physical security contacts</t>
        </is>
      </c>
    </row>
    <row r="188">
      <c r="A188" t="inlineStr">
        <is>
          <t>P8-SEC-AFRI-SENEGA-03</t>
        </is>
      </c>
      <c r="B188" t="n">
        <v>8</v>
      </c>
      <c r="C188" t="inlineStr">
        <is>
          <t>Annex C: Physical &amp; Digital Security Support</t>
        </is>
      </c>
      <c r="E188" t="inlineStr">
        <is>
          <t>general</t>
        </is>
      </c>
      <c r="F188" t="inlineStr">
        <is>
          <t>COUNTRY-ENTRY</t>
        </is>
      </c>
      <c r="G188" t="n">
        <v>1</v>
      </c>
      <c r="H188" t="inlineStr">
        <is>
          <t>Senegal | Lorem ipsum dolor sit amet consectetur adipiscing elit sed do eiusmod tempor incididunt ut labore et dolore magna</t>
        </is>
      </c>
      <c r="I188" s="123">
        <f>SWITCH(F188,"STEP",25,"INTRO",60,"TIP",35,"WARNING",35,"DECISION-Q",20,"DECISION-A",8,"CHECKLIST",20,"TEMPLATE",120,"CASE",80,"HEADER",10,"DB-REF",40,"MECHANISM-REF",15,"SUBSECTION",12,"FEEDBACK",120,20)</f>
        <v/>
      </c>
      <c r="J188" s="124">
        <f>IF(TRIM(H188)="",0,LEN(TRIM(H188))-LEN(SUBSTITUTE(TRIM(H188)," ",""))+1)</f>
        <v/>
      </c>
      <c r="K188" s="125">
        <f>IF(J188&gt;I188,"OVER ↑","✓")</f>
        <v/>
      </c>
      <c r="Q188" t="n">
        <v>3</v>
      </c>
      <c r="R188" t="inlineStr">
        <is>
          <t>PLACEHOLDER — digital &amp; physical security contacts</t>
        </is>
      </c>
    </row>
    <row r="189">
      <c r="A189" t="inlineStr">
        <is>
          <t>P8-SEC-ASIAPA-SUB</t>
        </is>
      </c>
      <c r="B189" t="n">
        <v>8</v>
      </c>
      <c r="C189" t="inlineStr">
        <is>
          <t>Annex C: Physical &amp; Digital Security Support</t>
        </is>
      </c>
      <c r="E189" t="inlineStr">
        <is>
          <t>general</t>
        </is>
      </c>
      <c r="F189" t="inlineStr">
        <is>
          <t>SUBSECTION</t>
        </is>
      </c>
      <c r="G189" t="n">
        <v>1</v>
      </c>
      <c r="H189" t="inlineStr">
        <is>
          <t>Asia-Pacific</t>
        </is>
      </c>
      <c r="I189" s="123">
        <f>SWITCH(F189,"STEP",25,"INTRO",60,"TIP",35,"WARNING",35,"DECISION-Q",20,"DECISION-A",8,"CHECKLIST",20,"TEMPLATE",120,"CASE",80,"HEADER",10,"DB-REF",40,"MECHANISM-REF",15,"SUBSECTION",12,"FEEDBACK",120,20)</f>
        <v/>
      </c>
      <c r="J189" s="124">
        <f>IF(TRIM(H189)="",0,LEN(TRIM(H189))-LEN(SUBSTITUTE(TRIM(H189)," ",""))+1)</f>
        <v/>
      </c>
      <c r="K189" s="125">
        <f>IF(J189&gt;I189,"OVER ↑","✓")</f>
        <v/>
      </c>
      <c r="Q189" t="n">
        <v>20</v>
      </c>
    </row>
    <row r="190">
      <c r="A190" t="inlineStr">
        <is>
          <t>P8-SEC-ASIA-INDONE-01</t>
        </is>
      </c>
      <c r="B190" t="n">
        <v>8</v>
      </c>
      <c r="C190" t="inlineStr">
        <is>
          <t>Annex C: Physical &amp; Digital Security Support</t>
        </is>
      </c>
      <c r="E190" t="inlineStr">
        <is>
          <t>general</t>
        </is>
      </c>
      <c r="F190" t="inlineStr">
        <is>
          <t>COUNTRY-ENTRY</t>
        </is>
      </c>
      <c r="G190" t="n">
        <v>1</v>
      </c>
      <c r="H190" t="inlineStr">
        <is>
          <t>Indonesia | Lorem ipsum dolor sit amet consectetur adipiscing elit sed do eiusmod tempor incididunt ut labore et dolore magna</t>
        </is>
      </c>
      <c r="I190" s="123">
        <f>SWITCH(F190,"STEP",25,"INTRO",60,"TIP",35,"WARNING",35,"DECISION-Q",20,"DECISION-A",8,"CHECKLIST",20,"TEMPLATE",120,"CASE",80,"HEADER",10,"DB-REF",40,"MECHANISM-REF",15,"SUBSECTION",12,"FEEDBACK",120,20)</f>
        <v/>
      </c>
      <c r="J190" s="124">
        <f>IF(TRIM(H190)="",0,LEN(TRIM(H190))-LEN(SUBSTITUTE(TRIM(H190)," ",""))+1)</f>
        <v/>
      </c>
      <c r="K190" s="125">
        <f>IF(J190&gt;I190,"OVER ↑","✓")</f>
        <v/>
      </c>
      <c r="Q190" t="n">
        <v>21</v>
      </c>
      <c r="R190" t="inlineStr">
        <is>
          <t>PLACEHOLDER</t>
        </is>
      </c>
    </row>
    <row r="191">
      <c r="A191" t="inlineStr">
        <is>
          <t>P8-SEC-ASIA-THAILA-02</t>
        </is>
      </c>
      <c r="B191" t="n">
        <v>8</v>
      </c>
      <c r="C191" t="inlineStr">
        <is>
          <t>Annex C: Physical &amp; Digital Security Support</t>
        </is>
      </c>
      <c r="E191" t="inlineStr">
        <is>
          <t>general</t>
        </is>
      </c>
      <c r="F191" t="inlineStr">
        <is>
          <t>COUNTRY-ENTRY</t>
        </is>
      </c>
      <c r="G191" t="n">
        <v>1</v>
      </c>
      <c r="H191" t="inlineStr">
        <is>
          <t>Thailand | Lorem ipsum dolor sit amet consectetur adipiscing elit sed do eiusmod tempor incididunt ut labore et dolore magna</t>
        </is>
      </c>
      <c r="I191" s="123">
        <f>SWITCH(F191,"STEP",25,"INTRO",60,"TIP",35,"WARNING",35,"DECISION-Q",20,"DECISION-A",8,"CHECKLIST",20,"TEMPLATE",120,"CASE",80,"HEADER",10,"DB-REF",40,"MECHANISM-REF",15,"SUBSECTION",12,"FEEDBACK",120,20)</f>
        <v/>
      </c>
      <c r="J191" s="124">
        <f>IF(TRIM(H191)="",0,LEN(TRIM(H191))-LEN(SUBSTITUTE(TRIM(H191)," ",""))+1)</f>
        <v/>
      </c>
      <c r="K191" s="125">
        <f>IF(J191&gt;I191,"OVER ↑","✓")</f>
        <v/>
      </c>
      <c r="Q191" t="n">
        <v>22</v>
      </c>
      <c r="R191" t="inlineStr">
        <is>
          <t>PLACEHOLDER</t>
        </is>
      </c>
    </row>
    <row r="192">
      <c r="A192" t="inlineStr">
        <is>
          <t>P8-SEC-ASIA-PHILIP-03</t>
        </is>
      </c>
      <c r="B192" t="n">
        <v>8</v>
      </c>
      <c r="C192" t="inlineStr">
        <is>
          <t>Annex C: Physical &amp; Digital Security Support</t>
        </is>
      </c>
      <c r="E192" t="inlineStr">
        <is>
          <t>general</t>
        </is>
      </c>
      <c r="F192" t="inlineStr">
        <is>
          <t>COUNTRY-ENTRY</t>
        </is>
      </c>
      <c r="G192" t="n">
        <v>1</v>
      </c>
      <c r="H192" t="inlineStr">
        <is>
          <t>Philippines | Lorem ipsum dolor sit amet consectetur adipiscing elit sed do eiusmod tempor incididunt ut labore et dolore magna</t>
        </is>
      </c>
      <c r="I192" s="123">
        <f>SWITCH(F192,"STEP",25,"INTRO",60,"TIP",35,"WARNING",35,"DECISION-Q",20,"DECISION-A",8,"CHECKLIST",20,"TEMPLATE",120,"CASE",80,"HEADER",10,"DB-REF",40,"MECHANISM-REF",15,"SUBSECTION",12,"FEEDBACK",120,20)</f>
        <v/>
      </c>
      <c r="J192" s="124">
        <f>IF(TRIM(H192)="",0,LEN(TRIM(H192))-LEN(SUBSTITUTE(TRIM(H192)," ",""))+1)</f>
        <v/>
      </c>
      <c r="K192" s="125">
        <f>IF(J192&gt;I192,"OVER ↑","✓")</f>
        <v/>
      </c>
      <c r="Q192" t="n">
        <v>23</v>
      </c>
      <c r="R192" t="inlineStr">
        <is>
          <t>PLACEHOLDER</t>
        </is>
      </c>
    </row>
    <row r="193">
      <c r="A193" t="inlineStr">
        <is>
          <t>P8-SEC-EUROPE-SUB</t>
        </is>
      </c>
      <c r="B193" t="n">
        <v>8</v>
      </c>
      <c r="C193" t="inlineStr">
        <is>
          <t>Annex C: Physical &amp; Digital Security Support</t>
        </is>
      </c>
      <c r="E193" t="inlineStr">
        <is>
          <t>general</t>
        </is>
      </c>
      <c r="F193" t="inlineStr">
        <is>
          <t>SUBSECTION</t>
        </is>
      </c>
      <c r="G193" t="n">
        <v>1</v>
      </c>
      <c r="H193" t="inlineStr">
        <is>
          <t>Europe</t>
        </is>
      </c>
      <c r="I193" s="123">
        <f>SWITCH(F193,"STEP",25,"INTRO",60,"TIP",35,"WARNING",35,"DECISION-Q",20,"DECISION-A",8,"CHECKLIST",20,"TEMPLATE",120,"CASE",80,"HEADER",10,"DB-REF",40,"MECHANISM-REF",15,"SUBSECTION",12,"FEEDBACK",120,20)</f>
        <v/>
      </c>
      <c r="J193" s="124">
        <f>IF(TRIM(H193)="",0,LEN(TRIM(H193))-LEN(SUBSTITUTE(TRIM(H193)," ",""))+1)</f>
        <v/>
      </c>
      <c r="K193" s="125">
        <f>IF(J193&gt;I193,"OVER ↑","✓")</f>
        <v/>
      </c>
      <c r="Q193" t="n">
        <v>40</v>
      </c>
    </row>
    <row r="194">
      <c r="A194" t="inlineStr">
        <is>
          <t>P8-SEC-EURO-EUROPE-01</t>
        </is>
      </c>
      <c r="B194" t="n">
        <v>8</v>
      </c>
      <c r="C194" t="inlineStr">
        <is>
          <t>Annex C: Physical &amp; Digital Security Support</t>
        </is>
      </c>
      <c r="E194" t="inlineStr">
        <is>
          <t>general</t>
        </is>
      </c>
      <c r="F194" t="inlineStr">
        <is>
          <t>COUNTRY-ENTRY</t>
        </is>
      </c>
      <c r="G194" t="n">
        <v>1</v>
      </c>
      <c r="H194" t="inlineStr">
        <is>
          <t>European Union | Lorem ipsum dolor sit amet consectetur adipiscing elit sed do eiusmod tempor incididunt ut labore et dolore magna</t>
        </is>
      </c>
      <c r="I194" s="123">
        <f>SWITCH(F194,"STEP",25,"INTRO",60,"TIP",35,"WARNING",35,"DECISION-Q",20,"DECISION-A",8,"CHECKLIST",20,"TEMPLATE",120,"CASE",80,"HEADER",10,"DB-REF",40,"MECHANISM-REF",15,"SUBSECTION",12,"FEEDBACK",120,20)</f>
        <v/>
      </c>
      <c r="J194" s="124">
        <f>IF(TRIM(H194)="",0,LEN(TRIM(H194))-LEN(SUBSTITUTE(TRIM(H194)," ",""))+1)</f>
        <v/>
      </c>
      <c r="K194" s="125">
        <f>IF(J194&gt;I194,"OVER ↑","✓")</f>
        <v/>
      </c>
      <c r="Q194" t="n">
        <v>41</v>
      </c>
      <c r="R194" t="inlineStr">
        <is>
          <t>PLACEHOLDER — Access Now Helpline covers EU; verify regional partners</t>
        </is>
      </c>
    </row>
    <row r="195">
      <c r="A195" t="inlineStr">
        <is>
          <t>P8-SEC-EURO-UNITED-02</t>
        </is>
      </c>
      <c r="B195" t="n">
        <v>8</v>
      </c>
      <c r="C195" t="inlineStr">
        <is>
          <t>Annex C: Physical &amp; Digital Security Support</t>
        </is>
      </c>
      <c r="E195" t="inlineStr">
        <is>
          <t>general</t>
        </is>
      </c>
      <c r="F195" t="inlineStr">
        <is>
          <t>COUNTRY-ENTRY</t>
        </is>
      </c>
      <c r="G195" t="n">
        <v>1</v>
      </c>
      <c r="H195" t="inlineStr">
        <is>
          <t>United Kingdom | Lorem ipsum dolor sit amet consectetur adipiscing elit sed do eiusmod tempor incididunt ut labore et dolore magna</t>
        </is>
      </c>
      <c r="I195" s="123">
        <f>SWITCH(F195,"STEP",25,"INTRO",60,"TIP",35,"WARNING",35,"DECISION-Q",20,"DECISION-A",8,"CHECKLIST",20,"TEMPLATE",120,"CASE",80,"HEADER",10,"DB-REF",40,"MECHANISM-REF",15,"SUBSECTION",12,"FEEDBACK",120,20)</f>
        <v/>
      </c>
      <c r="J195" s="124">
        <f>IF(TRIM(H195)="",0,LEN(TRIM(H195))-LEN(SUBSTITUTE(TRIM(H195)," ",""))+1)</f>
        <v/>
      </c>
      <c r="K195" s="125">
        <f>IF(J195&gt;I195,"OVER ↑","✓")</f>
        <v/>
      </c>
      <c r="Q195" t="n">
        <v>42</v>
      </c>
      <c r="R195" t="inlineStr">
        <is>
          <t>PLACEHOLDER</t>
        </is>
      </c>
    </row>
    <row r="196">
      <c r="A196" t="inlineStr">
        <is>
          <t>P8-SEC-LATINA-SUB</t>
        </is>
      </c>
      <c r="B196" t="n">
        <v>8</v>
      </c>
      <c r="C196" t="inlineStr">
        <is>
          <t>Annex C: Physical &amp; Digital Security Support</t>
        </is>
      </c>
      <c r="E196" t="inlineStr">
        <is>
          <t>general</t>
        </is>
      </c>
      <c r="F196" t="inlineStr">
        <is>
          <t>SUBSECTION</t>
        </is>
      </c>
      <c r="G196" t="n">
        <v>1</v>
      </c>
      <c r="H196" t="inlineStr">
        <is>
          <t>Latin America &amp; Caribbean</t>
        </is>
      </c>
      <c r="I196" s="123">
        <f>SWITCH(F196,"STEP",25,"INTRO",60,"TIP",35,"WARNING",35,"DECISION-Q",20,"DECISION-A",8,"CHECKLIST",20,"TEMPLATE",120,"CASE",80,"HEADER",10,"DB-REF",40,"MECHANISM-REF",15,"SUBSECTION",12,"FEEDBACK",120,20)</f>
        <v/>
      </c>
      <c r="J196" s="124">
        <f>IF(TRIM(H196)="",0,LEN(TRIM(H196))-LEN(SUBSTITUTE(TRIM(H196)," ",""))+1)</f>
        <v/>
      </c>
      <c r="K196" s="125">
        <f>IF(J196&gt;I196,"OVER ↑","✓")</f>
        <v/>
      </c>
      <c r="Q196" t="n">
        <v>60</v>
      </c>
    </row>
    <row r="197">
      <c r="A197" t="inlineStr">
        <is>
          <t>P8-SEC-LATI-BRAZIL-01</t>
        </is>
      </c>
      <c r="B197" t="n">
        <v>8</v>
      </c>
      <c r="C197" t="inlineStr">
        <is>
          <t>Annex C: Physical &amp; Digital Security Support</t>
        </is>
      </c>
      <c r="E197" t="inlineStr">
        <is>
          <t>general</t>
        </is>
      </c>
      <c r="F197" t="inlineStr">
        <is>
          <t>COUNTRY-ENTRY</t>
        </is>
      </c>
      <c r="G197" t="n">
        <v>1</v>
      </c>
      <c r="H197" t="inlineStr">
        <is>
          <t>Brazil | Lorem ipsum dolor sit amet consectetur adipiscing elit sed do eiusmod tempor incididunt ut labore et dolore magna</t>
        </is>
      </c>
      <c r="I197" s="123">
        <f>SWITCH(F197,"STEP",25,"INTRO",60,"TIP",35,"WARNING",35,"DECISION-Q",20,"DECISION-A",8,"CHECKLIST",20,"TEMPLATE",120,"CASE",80,"HEADER",10,"DB-REF",40,"MECHANISM-REF",15,"SUBSECTION",12,"FEEDBACK",120,20)</f>
        <v/>
      </c>
      <c r="J197" s="124">
        <f>IF(TRIM(H197)="",0,LEN(TRIM(H197))-LEN(SUBSTITUTE(TRIM(H197)," ",""))+1)</f>
        <v/>
      </c>
      <c r="K197" s="125">
        <f>IF(J197&gt;I197,"OVER ↑","✓")</f>
        <v/>
      </c>
      <c r="Q197" t="n">
        <v>61</v>
      </c>
      <c r="R197" t="inlineStr">
        <is>
          <t>PLACEHOLDER</t>
        </is>
      </c>
    </row>
    <row r="198">
      <c r="A198" t="inlineStr">
        <is>
          <t>P8-SEC-LATI-COLOMB-02</t>
        </is>
      </c>
      <c r="B198" t="n">
        <v>8</v>
      </c>
      <c r="C198" t="inlineStr">
        <is>
          <t>Annex C: Physical &amp; Digital Security Support</t>
        </is>
      </c>
      <c r="E198" t="inlineStr">
        <is>
          <t>general</t>
        </is>
      </c>
      <c r="F198" t="inlineStr">
        <is>
          <t>COUNTRY-ENTRY</t>
        </is>
      </c>
      <c r="G198" t="n">
        <v>1</v>
      </c>
      <c r="H198" t="inlineStr">
        <is>
          <t>Colombia | Lorem ipsum dolor sit amet consectetur adipiscing elit sed do eiusmod tempor incididunt ut labore et dolore magna</t>
        </is>
      </c>
      <c r="I198" s="123">
        <f>SWITCH(F198,"STEP",25,"INTRO",60,"TIP",35,"WARNING",35,"DECISION-Q",20,"DECISION-A",8,"CHECKLIST",20,"TEMPLATE",120,"CASE",80,"HEADER",10,"DB-REF",40,"MECHANISM-REF",15,"SUBSECTION",12,"FEEDBACK",120,20)</f>
        <v/>
      </c>
      <c r="J198" s="124">
        <f>IF(TRIM(H198)="",0,LEN(TRIM(H198))-LEN(SUBSTITUTE(TRIM(H198)," ",""))+1)</f>
        <v/>
      </c>
      <c r="K198" s="125">
        <f>IF(J198&gt;I198,"OVER ↑","✓")</f>
        <v/>
      </c>
      <c r="Q198" t="n">
        <v>62</v>
      </c>
      <c r="R198" t="inlineStr">
        <is>
          <t>PLACEHOLDER</t>
        </is>
      </c>
    </row>
    <row r="199">
      <c r="A199" t="inlineStr">
        <is>
          <t>P8-SEC-LATI-MEXICO-03</t>
        </is>
      </c>
      <c r="B199" t="n">
        <v>8</v>
      </c>
      <c r="C199" t="inlineStr">
        <is>
          <t>Annex C: Physical &amp; Digital Security Support</t>
        </is>
      </c>
      <c r="E199" t="inlineStr">
        <is>
          <t>general</t>
        </is>
      </c>
      <c r="F199" t="inlineStr">
        <is>
          <t>COUNTRY-ENTRY</t>
        </is>
      </c>
      <c r="G199" t="n">
        <v>1</v>
      </c>
      <c r="H199" t="inlineStr">
        <is>
          <t>Mexico | Lorem ipsum dolor sit amet consectetur adipiscing elit sed do eiusmod tempor incididunt ut labore et dolore magna</t>
        </is>
      </c>
      <c r="I199" s="123">
        <f>SWITCH(F199,"STEP",25,"INTRO",60,"TIP",35,"WARNING",35,"DECISION-Q",20,"DECISION-A",8,"CHECKLIST",20,"TEMPLATE",120,"CASE",80,"HEADER",10,"DB-REF",40,"MECHANISM-REF",15,"SUBSECTION",12,"FEEDBACK",120,20)</f>
        <v/>
      </c>
      <c r="J199" s="124">
        <f>IF(TRIM(H199)="",0,LEN(TRIM(H199))-LEN(SUBSTITUTE(TRIM(H199)," ",""))+1)</f>
        <v/>
      </c>
      <c r="K199" s="125">
        <f>IF(J199&gt;I199,"OVER ↑","✓")</f>
        <v/>
      </c>
      <c r="Q199" t="n">
        <v>63</v>
      </c>
      <c r="R199" t="inlineStr">
        <is>
          <t>PLACEHOLDER</t>
        </is>
      </c>
    </row>
    <row r="200">
      <c r="A200" t="inlineStr">
        <is>
          <t>P8-SEC-PACIFI-SUB</t>
        </is>
      </c>
      <c r="B200" t="n">
        <v>8</v>
      </c>
      <c r="C200" t="inlineStr">
        <is>
          <t>Annex C: Physical &amp; Digital Security Support</t>
        </is>
      </c>
      <c r="E200" t="inlineStr">
        <is>
          <t>general</t>
        </is>
      </c>
      <c r="F200" t="inlineStr">
        <is>
          <t>SUBSECTION</t>
        </is>
      </c>
      <c r="G200" t="n">
        <v>1</v>
      </c>
      <c r="H200" t="inlineStr">
        <is>
          <t>Pacific</t>
        </is>
      </c>
      <c r="I200" s="123">
        <f>SWITCH(F200,"STEP",25,"INTRO",60,"TIP",35,"WARNING",35,"DECISION-Q",20,"DECISION-A",8,"CHECKLIST",20,"TEMPLATE",120,"CASE",80,"HEADER",10,"DB-REF",40,"MECHANISM-REF",15,"SUBSECTION",12,"FEEDBACK",120,20)</f>
        <v/>
      </c>
      <c r="J200" s="124">
        <f>IF(TRIM(H200)="",0,LEN(TRIM(H200))-LEN(SUBSTITUTE(TRIM(H200)," ",""))+1)</f>
        <v/>
      </c>
      <c r="K200" s="125">
        <f>IF(J200&gt;I200,"OVER ↑","✓")</f>
        <v/>
      </c>
      <c r="Q200" t="n">
        <v>80</v>
      </c>
    </row>
    <row r="201">
      <c r="A201" t="inlineStr">
        <is>
          <t>P8-SEC-PACI-PACIFI-01</t>
        </is>
      </c>
      <c r="B201" t="n">
        <v>8</v>
      </c>
      <c r="C201" t="inlineStr">
        <is>
          <t>Annex C: Physical &amp; Digital Security Support</t>
        </is>
      </c>
      <c r="E201" t="inlineStr">
        <is>
          <t>general</t>
        </is>
      </c>
      <c r="F201" t="inlineStr">
        <is>
          <t>COUNTRY-ENTRY</t>
        </is>
      </c>
      <c r="G201" t="n">
        <v>1</v>
      </c>
      <c r="H201" t="inlineStr">
        <is>
          <t>Pacific region | Lorem ipsum dolor sit amet consectetur adipiscing elit sed do eiusmod tempor incididunt ut labore et dolore magna</t>
        </is>
      </c>
      <c r="I201" s="123">
        <f>SWITCH(F201,"STEP",25,"INTRO",60,"TIP",35,"WARNING",35,"DECISION-Q",20,"DECISION-A",8,"CHECKLIST",20,"TEMPLATE",120,"CASE",80,"HEADER",10,"DB-REF",40,"MECHANISM-REF",15,"SUBSECTION",12,"FEEDBACK",120,20)</f>
        <v/>
      </c>
      <c r="J201" s="124">
        <f>IF(TRIM(H201)="",0,LEN(TRIM(H201))-LEN(SUBSTITUTE(TRIM(H201)," ",""))+1)</f>
        <v/>
      </c>
      <c r="K201" s="125">
        <f>IF(J201&gt;I201,"OVER ↑","✓")</f>
        <v/>
      </c>
      <c r="Q201" t="n">
        <v>81</v>
      </c>
      <c r="R201" t="inlineStr">
        <is>
          <t>PLACEHOLDER — limited provider coverage; note Access Now global helpline</t>
        </is>
      </c>
    </row>
    <row r="202">
      <c r="A202" t="inlineStr">
        <is>
          <t>P8-SEC-PACI-NEWZEA-02</t>
        </is>
      </c>
      <c r="B202" t="n">
        <v>8</v>
      </c>
      <c r="C202" t="inlineStr">
        <is>
          <t>Annex C: Physical &amp; Digital Security Support</t>
        </is>
      </c>
      <c r="E202" t="inlineStr">
        <is>
          <t>general</t>
        </is>
      </c>
      <c r="F202" t="inlineStr">
        <is>
          <t>COUNTRY-ENTRY</t>
        </is>
      </c>
      <c r="G202" t="n">
        <v>1</v>
      </c>
      <c r="H202" t="inlineStr">
        <is>
          <t>New Zealand | Lorem ipsum dolor sit amet consectetur adipiscing elit sed do eiusmod tempor incididunt ut labore et dolore magna</t>
        </is>
      </c>
      <c r="I202" s="123">
        <f>SWITCH(F202,"STEP",25,"INTRO",60,"TIP",35,"WARNING",35,"DECISION-Q",20,"DECISION-A",8,"CHECKLIST",20,"TEMPLATE",120,"CASE",80,"HEADER",10,"DB-REF",40,"MECHANISM-REF",15,"SUBSECTION",12,"FEEDBACK",120,20)</f>
        <v/>
      </c>
      <c r="J202" s="124">
        <f>IF(TRIM(H202)="",0,LEN(TRIM(H202))-LEN(SUBSTITUTE(TRIM(H202)," ",""))+1)</f>
        <v/>
      </c>
      <c r="K202" s="125">
        <f>IF(J202&gt;I202,"OVER ↑","✓")</f>
        <v/>
      </c>
      <c r="Q202" t="n">
        <v>82</v>
      </c>
      <c r="R202" t="inlineStr">
        <is>
          <t>PLACEHOLDER</t>
        </is>
      </c>
    </row>
  </sheetData>
  <mergeCells count="1">
    <mergeCell ref="A1:R1"/>
  </mergeCells>
  <conditionalFormatting sqref="H3:K49">
    <cfRule type="expression" priority="1" dxfId="0">
      <formula>K3="OVER ↑"</formula>
    </cfRule>
  </conditionalFormatting>
  <conditionalFormatting sqref="J3:J141">
    <cfRule type="expression" priority="2" dxfId="1">
      <formula>J3&gt;I3</formula>
    </cfRule>
    <cfRule type="expression" priority="3" dxfId="2">
      <formula>AND(J3&lt;=I3,J3&gt;0)</formula>
    </cfRule>
    <cfRule type="expression" priority="6" dxfId="1">
      <formula>J3&gt;I3</formula>
    </cfRule>
    <cfRule type="expression" priority="7" dxfId="3">
      <formula>AND(J3&lt;=I3,J3&gt;0)</formula>
    </cfRule>
    <cfRule type="expression" priority="10" dxfId="1">
      <formula>J3&gt;I3</formula>
    </cfRule>
    <cfRule type="expression" priority="11" dxfId="3">
      <formula>AND(J3&lt;=I3,J3&gt;0)</formula>
    </cfRule>
    <cfRule type="expression" priority="14" dxfId="1">
      <formula>J3&gt;I3</formula>
    </cfRule>
    <cfRule type="expression" priority="15" dxfId="3">
      <formula>AND(J3&lt;=I3,J3&gt;0)</formula>
    </cfRule>
  </conditionalFormatting>
  <conditionalFormatting sqref="K3:K141">
    <cfRule type="expression" priority="4" dxfId="1">
      <formula>J3&gt;I3</formula>
    </cfRule>
    <cfRule type="expression" priority="5" dxfId="3">
      <formula>AND(J3&lt;=I3,J3&gt;0)</formula>
    </cfRule>
    <cfRule type="expression" priority="8" dxfId="1">
      <formula>J3&gt;I3</formula>
    </cfRule>
    <cfRule type="expression" priority="9" dxfId="3">
      <formula>AND(J3&lt;=I3,J3&gt;0)</formula>
    </cfRule>
    <cfRule type="expression" priority="12" dxfId="1">
      <formula>J3&gt;I3</formula>
    </cfRule>
    <cfRule type="expression" priority="13" dxfId="3">
      <formula>AND(J3&lt;=I3,J3&gt;0)</formula>
    </cfRule>
    <cfRule type="expression" priority="16" dxfId="1">
      <formula>J3&gt;I3</formula>
    </cfRule>
    <cfRule type="expression" priority="17" dxfId="3">
      <formula>AND(J3&lt;=I3,J3&gt;0)</formula>
    </cfRule>
  </conditionalFormatting>
  <conditionalFormatting sqref="J3:J182">
    <cfRule type="expression" priority="18" dxfId="1">
      <formula>J3&gt;I3</formula>
    </cfRule>
    <cfRule type="expression" priority="19" dxfId="3">
      <formula>AND(J3&lt;=I3,J3&gt;0)</formula>
    </cfRule>
  </conditionalFormatting>
  <conditionalFormatting sqref="K3:K182">
    <cfRule type="expression" priority="20" dxfId="1">
      <formula>J3&gt;I3</formula>
    </cfRule>
    <cfRule type="expression" priority="21" dxfId="3">
      <formula>AND(J3&lt;=I3,J3&gt;0)</formula>
    </cfRule>
  </conditionalFormatting>
  <conditionalFormatting sqref="J3:J202">
    <cfRule type="expression" priority="22" dxfId="1">
      <formula>J3&gt;I3</formula>
    </cfRule>
    <cfRule type="expression" priority="23" dxfId="3">
      <formula>AND(J3&lt;=I3,J3&gt;0)</formula>
    </cfRule>
    <cfRule type="expression" priority="26" dxfId="1">
      <formula>J3&gt;I3</formula>
    </cfRule>
    <cfRule type="expression" priority="27" dxfId="3">
      <formula>AND(J3&lt;=I3,J3&gt;0)</formula>
    </cfRule>
  </conditionalFormatting>
  <conditionalFormatting sqref="K3:K202">
    <cfRule type="expression" priority="24" dxfId="1">
      <formula>J3&gt;I3</formula>
    </cfRule>
    <cfRule type="expression" priority="25" dxfId="3">
      <formula>AND(J3&lt;=I3,J3&gt;0)</formula>
    </cfRule>
    <cfRule type="expression" priority="28" dxfId="1">
      <formula>J3&gt;I3</formula>
    </cfRule>
    <cfRule type="expression" priority="29" dxfId="3">
      <formula>AND(J3&lt;=I3,J3&gt;0)</formula>
    </cfRule>
  </conditionalFormatting>
  <dataValidations count="3">
    <dataValidation sqref="F3:F99" showDropDown="0" showInputMessage="0" showErrorMessage="1" allowBlank="0" errorTitle="Invalid block type" error="Choose from the list" type="list">
      <formula1>"STEP,INTRO,TIP,WARNING,DECISION-Q,DECISION-A,CHECKLIST,TEMPLATE,CASE,HEADER,DB-REF,MECHANISM-REF,SUBSECTION"</formula1>
    </dataValidation>
    <dataValidation sqref="L3:L99" showDropDown="0" showInputMessage="0" showErrorMessage="0" allowBlank="0" type="list">
      <formula1>"HIGH-CHURN,STABLE"</formula1>
    </dataValidation>
    <dataValidation sqref="G3:G99" showDropDown="0" showInputMessage="0" showErrorMessage="0" allowBlank="0" type="list">
      <formula1>"1,2,3"</formula1>
    </dataValidation>
  </dataValidations>
  <pageMargins left="0.75" right="0.75" top="1" bottom="1" header="0.5" footer="0.5"/>
</worksheet>
</file>

<file path=xl/worksheets/sheet4.xml><?xml version="1.0" encoding="utf-8"?>
<worksheet xmlns="http://schemas.openxmlformats.org/spreadsheetml/2006/main">
  <sheetPr>
    <tabColor rgb="002E6B6B"/>
    <outlinePr summaryBelow="1" summaryRight="1"/>
    <pageSetUpPr/>
  </sheetPr>
  <dimension ref="A1:R8"/>
  <sheetViews>
    <sheetView showGridLines="0" workbookViewId="0">
      <pane ySplit="2" topLeftCell="A3" activePane="bottomLeft" state="frozen"/>
      <selection pane="bottomLeft" activeCell="A1" sqref="A1"/>
    </sheetView>
  </sheetViews>
  <sheetFormatPr baseColWidth="8" defaultRowHeight="15"/>
  <cols>
    <col width="10" customWidth="1" min="1" max="1"/>
    <col width="14" customWidth="1" min="2" max="2"/>
    <col width="28" customWidth="1" min="3" max="3"/>
    <col width="22" customWidth="1" min="4" max="4"/>
    <col width="12" customWidth="1" min="5" max="5"/>
    <col width="14" customWidth="1" min="6" max="6"/>
    <col width="40" customWidth="1" min="7" max="7"/>
    <col width="42" customWidth="1" min="8" max="8"/>
    <col width="22" customWidth="1" min="9" max="9"/>
    <col width="38" customWidth="1" min="10" max="10"/>
    <col width="30" customWidth="1" min="11" max="11"/>
    <col width="20" customWidth="1" min="12" max="12"/>
    <col width="24" customWidth="1" min="13" max="13"/>
    <col width="18" customWidth="1" min="14" max="14"/>
    <col width="12" customWidth="1" min="15" max="15"/>
    <col width="14" customWidth="1" min="16" max="16"/>
    <col width="12" customWidth="1" min="17" max="17"/>
    <col width="28" customWidth="1" min="18" max="18"/>
  </cols>
  <sheetData>
    <row r="1" ht="32" customHeight="1">
      <c r="A1" s="18" t="inlineStr">
        <is>
          <t>MECHANISMS — Legal, Funding &amp; Digital Support (Sheet 2 of 5) | Update this sheet to refresh all mechanism entries in the PDF</t>
        </is>
      </c>
    </row>
    <row r="2" ht="52" customHeight="1">
      <c r="A2" s="19" t="inlineStr">
        <is>
          <t>mech_id</t>
        </is>
      </c>
      <c r="B2" s="19" t="inlineStr">
        <is>
          <t>category</t>
        </is>
      </c>
      <c r="C2" s="19" t="inlineStr">
        <is>
          <t>mechanism_name</t>
        </is>
      </c>
      <c r="D2" s="19" t="inlineStr">
        <is>
          <t>organisation</t>
        </is>
      </c>
      <c r="E2" s="19" t="inlineStr">
        <is>
          <t>status</t>
        </is>
      </c>
      <c r="F2" s="19" t="inlineStr">
        <is>
          <t>platform_eligible</t>
        </is>
      </c>
      <c r="G2" s="19" t="inlineStr">
        <is>
          <t>eligibility_note</t>
        </is>
      </c>
      <c r="H2" s="19" t="inlineStr">
        <is>
          <t>how_to_access</t>
        </is>
      </c>
      <c r="I2" s="19" t="inlineStr">
        <is>
          <t>timeframe</t>
        </is>
      </c>
      <c r="J2" s="19" t="inlineStr">
        <is>
          <t>constraints</t>
        </is>
      </c>
      <c r="K2" s="19" t="inlineStr">
        <is>
          <t>db_url</t>
        </is>
      </c>
      <c r="L2" s="19" t="inlineStr">
        <is>
          <t>db_name</t>
        </is>
      </c>
      <c r="M2" s="19" t="inlineStr">
        <is>
          <t>contact</t>
        </is>
      </c>
      <c r="N2" s="19" t="inlineStr">
        <is>
          <t>geographic_coverage</t>
        </is>
      </c>
      <c r="O2" s="19" t="inlineStr">
        <is>
          <t>last_verified</t>
        </is>
      </c>
      <c r="P2" s="19" t="inlineStr">
        <is>
          <t>verified_by</t>
        </is>
      </c>
      <c r="Q2" s="19" t="inlineStr">
        <is>
          <t>next_verify_due</t>
        </is>
      </c>
      <c r="R2" s="19" t="inlineStr">
        <is>
          <t>notes</t>
        </is>
      </c>
    </row>
    <row r="3" ht="72" customHeight="1">
      <c r="A3" s="3" t="inlineStr">
        <is>
          <t>MECH-L-001</t>
        </is>
      </c>
      <c r="B3" s="3" t="inlineStr">
        <is>
          <t>legal</t>
        </is>
      </c>
      <c r="C3" s="3" t="inlineStr">
        <is>
          <t>ICNL Legal Support Resource Hub</t>
        </is>
      </c>
      <c r="D3" s="3" t="inlineStr">
        <is>
          <t>International Center for Not-for-Profit Law</t>
        </is>
      </c>
      <c r="E3" s="20" t="inlineStr">
        <is>
          <t>ACTIVE</t>
        </is>
      </c>
      <c r="F3" s="21" t="inlineStr">
        <is>
          <t>PARTIAL</t>
        </is>
      </c>
      <c r="G3" s="3" t="inlineStr">
        <is>
          <t>ICNL provides legal analysis and some direct support. Platforms can access resources and referrals; direct representation varies by region and capacity. Confirm current direct support availability before applying.</t>
        </is>
      </c>
      <c r="H3" s="3" t="inlineStr">
        <is>
          <t>1. Visit icnl.org/resources. 2. Use the country-specific legal environment profiles. 3. Contact ICNL regional programme staff via website for direct support requests.</t>
        </is>
      </c>
      <c r="I3" s="3" t="inlineStr">
        <is>
          <t>Resource access: immediate. Direct legal support referrals: 2-6 weeks depending on regional capacity and complexity.</t>
        </is>
      </c>
      <c r="J3" s="3" t="inlineStr">
        <is>
          <t>Direct legal representation is limited and varies by region. Primarily a resource and referral organisation, not a legal firm. Most useful in early compliance phase.</t>
        </is>
      </c>
      <c r="K3" s="3" t="inlineStr">
        <is>
          <t>https://www.icnl.org/resources</t>
        </is>
      </c>
      <c r="L3" s="3" t="inlineStr">
        <is>
          <t>ICNL Resources</t>
        </is>
      </c>
      <c r="M3" s="3" t="inlineStr">
        <is>
          <t>info@icnl.org</t>
        </is>
      </c>
      <c r="N3" s="3" t="inlineStr">
        <is>
          <t>Global</t>
        </is>
      </c>
      <c r="O3" s="3" t="inlineStr">
        <is>
          <t>2026-03-17</t>
        </is>
      </c>
      <c r="P3" s="3" t="inlineStr">
        <is>
          <t>AI Agent (auto-confirmed)</t>
        </is>
      </c>
      <c r="Q3" s="3" t="inlineStr">
        <is>
          <t>2027-03-12</t>
        </is>
      </c>
      <c r="R3" s="3" t="inlineStr">
        <is>
          <t>Check direct support availability at each update</t>
        </is>
      </c>
    </row>
    <row r="4" ht="72" customHeight="1">
      <c r="A4" s="6" t="inlineStr">
        <is>
          <t>MECH-L-002</t>
        </is>
      </c>
      <c r="B4" s="6" t="inlineStr">
        <is>
          <t>legal</t>
        </is>
      </c>
      <c r="C4" s="6" t="inlineStr">
        <is>
          <t>PILnet Pro Bono Clearinghouse</t>
        </is>
      </c>
      <c r="D4" s="6" t="inlineStr">
        <is>
          <t>PILnet – Public Interest Law Network</t>
        </is>
      </c>
      <c r="E4" s="20" t="inlineStr">
        <is>
          <t>ACTIVE</t>
        </is>
      </c>
      <c r="F4" s="21" t="inlineStr">
        <is>
          <t>PARTIAL</t>
        </is>
      </c>
      <c r="G4" s="6" t="inlineStr">
        <is>
          <t>PILnet matches NGOs and platforms with pro bono legal partners. National platforms can apply; eligibility depends on regional network coverage. Strongest in Europe, North America, and parts of Asia.</t>
        </is>
      </c>
      <c r="H4" s="6" t="inlineStr">
        <is>
          <t>1. Go to pilnet.org. 2. Submit a pro bono request via the online form. 3. PILnet matches you with a volunteer lawyer — timeframe varies by region and request complexity.</t>
        </is>
      </c>
      <c r="I4" s="6" t="inlineStr">
        <is>
          <t>Initial response: 1-2 weeks. Legal match and engagement: 4-8 weeks. Emergency expediting possible in some regions — request explicitly.</t>
        </is>
      </c>
      <c r="J4" s="6" t="inlineStr">
        <is>
          <t>Coverage uneven — weaker in Sub-Saharan Africa, Central Asia, Pacific. Pro bono lawyers may lack civil society sector expertise. Scope limited to legal advice, not strategic litigation unless arranged separately.</t>
        </is>
      </c>
      <c r="K4" s="6" t="inlineStr">
        <is>
          <t>https://www.pilnet.org</t>
        </is>
      </c>
      <c r="L4" s="6" t="inlineStr">
        <is>
          <t>PILnet Portal</t>
        </is>
      </c>
      <c r="M4" s="6" t="inlineStr">
        <is>
          <t>contact@pilnet.org</t>
        </is>
      </c>
      <c r="N4" s="6" t="inlineStr">
        <is>
          <t>Global (uneven)</t>
        </is>
      </c>
      <c r="O4" s="6" t="inlineStr">
        <is>
          <t>2026-02-17</t>
        </is>
      </c>
      <c r="P4" s="6" t="inlineStr">
        <is>
          <t>J.Cranshaw</t>
        </is>
      </c>
      <c r="Q4" s="6" t="inlineStr">
        <is>
          <t>2027-02-17</t>
        </is>
      </c>
      <c r="R4" s="6" t="inlineStr"/>
    </row>
    <row r="5" ht="72" customHeight="1">
      <c r="A5" s="3" t="inlineStr">
        <is>
          <t>MECH-L-003</t>
        </is>
      </c>
      <c r="B5" s="3" t="inlineStr">
        <is>
          <t>legal</t>
        </is>
      </c>
      <c r="C5" s="3" t="inlineStr">
        <is>
          <t>TrustLaw Pro Bono Programme</t>
        </is>
      </c>
      <c r="D5" s="3" t="inlineStr">
        <is>
          <t>Thomson Reuters Foundation</t>
        </is>
      </c>
      <c r="E5" s="20" t="inlineStr">
        <is>
          <t>ACTIVE</t>
        </is>
      </c>
      <c r="F5" s="22" t="inlineStr">
        <is>
          <t>YES</t>
        </is>
      </c>
      <c r="G5" s="3" t="inlineStr">
        <is>
          <t>TrustLaw explicitly accepts applications from networks and platforms, not only individual CSOs. One of few mechanisms with clear platform eligibility. Apply with description of coordinating body role.</t>
        </is>
      </c>
      <c r="H5" s="3" t="inlineStr">
        <is>
          <t>1. Register at trust.org/trustlaw. 2. Submit request describing your organisation type and legal need. 3. TrustLaw matches with law firm partner — note 'national platform' or 'regional coalition' explicitly in application.</t>
        </is>
      </c>
      <c r="I5" s="3" t="inlineStr">
        <is>
          <t>Matching: 2-6 weeks. Legal engagement begins after match. Complex matters take longer. Stated turnaround is 30 days for initial response.</t>
        </is>
      </c>
      <c r="J5" s="3" t="inlineStr">
        <is>
          <t>Law firm capacity varies; some firms have limited civil society sector experience in certain regions. TrustLaw facilitates the match but does not guarantee outcomes or specific expertise.</t>
        </is>
      </c>
      <c r="K5" s="3" t="inlineStr">
        <is>
          <t>https://www.trust.org/trustlaw/</t>
        </is>
      </c>
      <c r="L5" s="3" t="inlineStr">
        <is>
          <t>TrustLaw Portal</t>
        </is>
      </c>
      <c r="M5" s="3" t="inlineStr">
        <is>
          <t>trustlaw@thomsonreuters.com</t>
        </is>
      </c>
      <c r="N5" s="3" t="inlineStr">
        <is>
          <t>Global</t>
        </is>
      </c>
      <c r="O5" s="3" t="inlineStr">
        <is>
          <t>2026-02-17</t>
        </is>
      </c>
      <c r="P5" s="3" t="inlineStr">
        <is>
          <t>J.Cranshaw</t>
        </is>
      </c>
      <c r="Q5" s="3" t="inlineStr">
        <is>
          <t>2027-02-17</t>
        </is>
      </c>
      <c r="R5" s="3" t="inlineStr">
        <is>
          <t>Platform eligible — confirm at each update</t>
        </is>
      </c>
    </row>
    <row r="6" ht="72" customHeight="1">
      <c r="A6" s="6" t="inlineStr">
        <is>
          <t>MECH-F-001</t>
        </is>
      </c>
      <c r="B6" s="6" t="inlineStr">
        <is>
          <t>emergency-funding</t>
        </is>
      </c>
      <c r="C6" s="6" t="inlineStr">
        <is>
          <t>Lifeline Embattled CSO Assistance Fund</t>
        </is>
      </c>
      <c r="D6" s="6" t="inlineStr">
        <is>
          <t>Lifeline (consortium)</t>
        </is>
      </c>
      <c r="E6" s="23" t="inlineStr">
        <is>
          <t>ACTIVE</t>
        </is>
      </c>
      <c r="F6" s="21" t="inlineStr">
        <is>
          <t>PARTIAL</t>
        </is>
      </c>
      <c r="G6" s="6" t="inlineStr">
        <is>
          <t>Lifeline primarily supports individual CSOs facing acute threats. National platforms coordinating members may be eligible if they demonstrate direct threat to their own operations. Confirm current eligibility before applying — criteria have shifted since 2024.</t>
        </is>
      </c>
      <c r="H6" s="6" t="inlineStr">
        <is>
          <t>1. Visit csolifeline.org/emergency-assistance. 2. Review current eligibility criteria carefully. 3. Submit application — describe platform role explicitly. 4. Expect follow-up questions on platform vs direct implementer status.</t>
        </is>
      </c>
      <c r="I6" s="6" t="inlineStr">
        <is>
          <t>Initial response: 2-4 weeks. Disbursement: varies. VERIFY current processing times — capacity has reduced since 2024 donor cuts.</t>
        </is>
      </c>
      <c r="J6" s="6" t="inlineStr">
        <is>
          <t>Eligibility for platforms is ambiguous and has varied by review cycle. Reduced capacity since 2024. Not suitable as primary emergency funding source for platforms — treat as supplementary.</t>
        </is>
      </c>
      <c r="K6" s="6" t="inlineStr">
        <is>
          <t>https://www.csolifeline.org/emergency-assistance</t>
        </is>
      </c>
      <c r="L6" s="6" t="inlineStr">
        <is>
          <t>Lifeline Portal</t>
        </is>
      </c>
      <c r="M6" s="6" t="inlineStr">
        <is>
          <t>lifeline@ned.org</t>
        </is>
      </c>
      <c r="N6" s="6" t="inlineStr">
        <is>
          <t>Global</t>
        </is>
      </c>
      <c r="O6" s="6" t="inlineStr">
        <is>
          <t>2026-03-17</t>
        </is>
      </c>
      <c r="P6" s="6" t="inlineStr">
        <is>
          <t>AI Agent (auto-confirmed)</t>
        </is>
      </c>
      <c r="Q6" s="6" t="inlineStr">
        <is>
          <t>2026-09-13</t>
        </is>
      </c>
      <c r="R6" s="6" t="inlineStr">
        <is>
          <t>VERIFY status at each update — HIGH CHURN. Eligibility for platforms uncertain.</t>
        </is>
      </c>
    </row>
    <row r="7" ht="72" customHeight="1">
      <c r="A7" s="3" t="inlineStr">
        <is>
          <t>MECH-F-002</t>
        </is>
      </c>
      <c r="B7" s="3" t="inlineStr">
        <is>
          <t>emergency-funding</t>
        </is>
      </c>
      <c r="C7" s="3" t="inlineStr">
        <is>
          <t>Lighthouse Global Protection Fund</t>
        </is>
      </c>
      <c r="D7" s="3" t="inlineStr">
        <is>
          <t>Lighthouse (consortium)</t>
        </is>
      </c>
      <c r="E7" s="20" t="inlineStr">
        <is>
          <t>ACTIVE</t>
        </is>
      </c>
      <c r="F7" s="21" t="inlineStr">
        <is>
          <t>PARTIAL</t>
        </is>
      </c>
      <c r="G7" s="3" t="inlineStr">
        <is>
          <t>Lighthouse does not accept direct applications. Access is via partner organisations. Platforms should identify relevant Lighthouse partner in their region first. Partners include ProtectDefenders.eu, Front Line Defenders, and others.</t>
        </is>
      </c>
      <c r="H7" s="3" t="inlineStr">
        <is>
          <t>1. Identify Lighthouse partner organisation in your region at lighthousedefenders.org. 2. Contact partner directly with your situation. 3. Partner assesses and routes application to Lighthouse if appropriate.</t>
        </is>
      </c>
      <c r="I7" s="3" t="inlineStr">
        <is>
          <t>Partner contact: immediate. Partner assessment: 1-2 weeks. Lighthouse disbursement if approved: 2-6 weeks. Total: 4-10 weeks minimum.</t>
        </is>
      </c>
      <c r="J7" s="3" t="inlineStr">
        <is>
          <t>No direct applications accepted — access depends entirely on having a relationship with a Lighthouse partner. Partners have their own eligibility criteria. Not all regions equally covered.</t>
        </is>
      </c>
      <c r="K7" s="3" t="inlineStr">
        <is>
          <t>https://lighthousedefenders.org</t>
        </is>
      </c>
      <c r="L7" s="3" t="inlineStr">
        <is>
          <t>Lighthouse Site</t>
        </is>
      </c>
      <c r="M7" s="3" t="inlineStr">
        <is>
          <t>Via partner organisations only</t>
        </is>
      </c>
      <c r="N7" s="3" t="inlineStr">
        <is>
          <t>Global (via partners)</t>
        </is>
      </c>
      <c r="O7" s="3" t="inlineStr">
        <is>
          <t>2026-03-17</t>
        </is>
      </c>
      <c r="P7" s="3" t="inlineStr">
        <is>
          <t>AI Agent (auto-confirmed)</t>
        </is>
      </c>
      <c r="Q7" s="3" t="inlineStr">
        <is>
          <t>2026-09-13</t>
        </is>
      </c>
      <c r="R7" s="3" t="inlineStr">
        <is>
          <t>Verify partner list at each update</t>
        </is>
      </c>
    </row>
    <row r="8" ht="72" customHeight="1">
      <c r="A8" s="6" t="inlineStr">
        <is>
          <t>MECH-D-001</t>
        </is>
      </c>
      <c r="B8" s="6" t="inlineStr">
        <is>
          <t>digital-security</t>
        </is>
      </c>
      <c r="C8" s="6" t="inlineStr">
        <is>
          <t>Access Now Digital Security Helpline</t>
        </is>
      </c>
      <c r="D8" s="6" t="inlineStr">
        <is>
          <t>Access Now</t>
        </is>
      </c>
      <c r="E8" s="20" t="inlineStr">
        <is>
          <t>ACTIVE</t>
        </is>
      </c>
      <c r="F8" s="22" t="inlineStr">
        <is>
          <t>YES</t>
        </is>
      </c>
      <c r="G8" s="6" t="inlineStr">
        <is>
          <t>Explicitly serves organisations including networks and platforms, not only individuals. Available in multiple languages. Particularly strong for digital incident response, secure communications advice, and threat assessment.</t>
        </is>
      </c>
      <c r="H8" s="6" t="inlineStr">
        <is>
          <t>1. Go to accessnow.org/help. 2. Submit request via encrypted form (uses PGP). 3. Access Now team responds — for emergencies, flag as urgent. Also available via Signal: check current number on their site.</t>
        </is>
      </c>
      <c r="I8" s="6" t="inlineStr">
        <is>
          <t>Initial response: 24-48 hours for standard requests. Emergency/urgent flagged requests: same day or next business day in most regions.</t>
        </is>
      </c>
      <c r="J8" s="6" t="inlineStr">
        <is>
          <t>Provides advice and guidance, not financial support. Technical depth varies by language and region. PGP submission form requires some technical familiarity.</t>
        </is>
      </c>
      <c r="K8" s="6" t="inlineStr">
        <is>
          <t>https://www.accessnow.org/help</t>
        </is>
      </c>
      <c r="L8" s="6" t="inlineStr">
        <is>
          <t>Access Now Help</t>
        </is>
      </c>
      <c r="M8" s="6" t="inlineStr">
        <is>
          <t>Via encrypted form on website</t>
        </is>
      </c>
      <c r="N8" s="6" t="inlineStr">
        <is>
          <t>Global</t>
        </is>
      </c>
      <c r="O8" s="6" t="inlineStr">
        <is>
          <t>2026-02-17</t>
        </is>
      </c>
      <c r="P8" s="6" t="inlineStr">
        <is>
          <t>J.Cranshaw</t>
        </is>
      </c>
      <c r="Q8" s="6" t="inlineStr">
        <is>
          <t>2027-02-17</t>
        </is>
      </c>
      <c r="R8" s="6" t="inlineStr">
        <is>
          <t>Stable mechanism — verify contact method and Signal number annually</t>
        </is>
      </c>
    </row>
  </sheetData>
  <mergeCells count="1">
    <mergeCell ref="A1:R1"/>
  </mergeCells>
  <pageMargins left="0.75" right="0.75" top="1" bottom="1" header="0.5" footer="0.5"/>
</worksheet>
</file>

<file path=xl/worksheets/sheet5.xml><?xml version="1.0" encoding="utf-8"?>
<worksheet xmlns="http://schemas.openxmlformats.org/spreadsheetml/2006/main">
  <sheetPr>
    <tabColor rgb="001F4E79"/>
    <outlinePr summaryBelow="1" summaryRight="1"/>
    <pageSetUpPr/>
  </sheetPr>
  <dimension ref="A1:I8"/>
  <sheetViews>
    <sheetView showGridLines="0" workbookViewId="0">
      <pane ySplit="2" topLeftCell="A3" activePane="bottomLeft" state="frozen"/>
      <selection pane="bottomLeft" activeCell="A1" sqref="A1"/>
    </sheetView>
  </sheetViews>
  <sheetFormatPr baseColWidth="8" defaultRowHeight="15"/>
  <cols>
    <col width="10" customWidth="1" min="1" max="1"/>
    <col width="28" customWidth="1" min="2" max="2"/>
    <col width="35" customWidth="1" min="3" max="3"/>
    <col width="42" customWidth="1" min="4" max="4"/>
    <col width="38" customWidth="1" min="5" max="5"/>
    <col width="38" customWidth="1" min="6" max="6"/>
    <col width="12" customWidth="1" min="7" max="7"/>
    <col width="16" customWidth="1" min="8" max="8"/>
    <col width="28" customWidth="1" min="9" max="9"/>
  </cols>
  <sheetData>
    <row r="1" ht="32" customHeight="1">
      <c r="A1" s="24" t="inlineStr">
        <is>
          <t>EXTERNAL DATABASE REFERENCES — Live links that replace copied content (Sheet 3 of 5)</t>
        </is>
      </c>
    </row>
    <row r="2" ht="48" customHeight="1">
      <c r="A2" s="25" t="inlineStr">
        <is>
          <t>db_id</t>
        </is>
      </c>
      <c r="B2" s="25" t="inlineStr">
        <is>
          <t>db_name</t>
        </is>
      </c>
      <c r="C2" s="25" t="inlineStr">
        <is>
          <t>url</t>
        </is>
      </c>
      <c r="D2" s="25" t="inlineStr">
        <is>
          <t>what_it_covers</t>
        </is>
      </c>
      <c r="E2" s="25" t="inlineStr">
        <is>
          <t>why_link_not_copy</t>
        </is>
      </c>
      <c r="F2" s="25" t="inlineStr">
        <is>
          <t>platform_relevance</t>
        </is>
      </c>
      <c r="G2" s="25" t="inlineStr">
        <is>
          <t>last_checked</t>
        </is>
      </c>
      <c r="H2" s="25" t="inlineStr">
        <is>
          <t>check_frequency</t>
        </is>
      </c>
      <c r="I2" s="25" t="inlineStr">
        <is>
          <t>notes</t>
        </is>
      </c>
    </row>
    <row r="3" ht="60" customHeight="1">
      <c r="A3" s="26" t="inlineStr">
        <is>
          <t>DB-001</t>
        </is>
      </c>
      <c r="B3" s="26" t="inlineStr">
        <is>
          <t>CIVICUS Monitor</t>
        </is>
      </c>
      <c r="C3" s="26" t="inlineStr">
        <is>
          <t>https://monitor.civicus.org</t>
        </is>
      </c>
      <c r="D3" s="26" t="inlineStr">
        <is>
          <t>Global civic space ratings and country-level threat assessments. Updated continuously. Country ratings, freedoms scores, alerts for recent incidents.</t>
        </is>
      </c>
      <c r="E3" s="26" t="inlineStr">
        <is>
          <t>Data updates continuously — copying it creates instant inaccuracy. Always reference the live monitor for current country status.</t>
        </is>
      </c>
      <c r="F3" s="26" t="inlineStr">
        <is>
          <t>Use to verify context for specific country/region in toolkit. Platform leaders can check their own country rating and recent alerts.</t>
        </is>
      </c>
      <c r="G3" s="26" t="inlineStr">
        <is>
          <t>2026-02-17</t>
        </is>
      </c>
      <c r="H3" s="26" t="inlineStr">
        <is>
          <t>Annual check</t>
        </is>
      </c>
      <c r="I3" s="26" t="inlineStr">
        <is>
          <t>Primary context data source — do not replicate, always link</t>
        </is>
      </c>
    </row>
    <row r="4" ht="60" customHeight="1">
      <c r="A4" s="27" t="inlineStr">
        <is>
          <t>DB-002</t>
        </is>
      </c>
      <c r="B4" s="27" t="inlineStr">
        <is>
          <t>ICNL Civic Freedom Monitor</t>
        </is>
      </c>
      <c r="C4" s="27" t="inlineStr">
        <is>
          <t>https://www.icnl.org/resources/civic-freedom-monitor</t>
        </is>
      </c>
      <c r="D4" s="27" t="inlineStr">
        <is>
          <t>Country-by-country legal environment analysis for civil society. Covers NGO laws, registration requirements, funding restrictions, foreign agent laws.</t>
        </is>
      </c>
      <c r="E4" s="27" t="inlineStr">
        <is>
          <t>Legal landscape changes rapidly. Copying creates dangerous outdated guidance. Always direct users to live country profiles.</t>
        </is>
      </c>
      <c r="F4" s="27" t="inlineStr">
        <is>
          <t>Essential for Part 3 legal section — platform leaders can look up their specific country legal context directly.</t>
        </is>
      </c>
      <c r="G4" s="27" t="inlineStr">
        <is>
          <t>2026-02-17</t>
        </is>
      </c>
      <c r="H4" s="27" t="inlineStr">
        <is>
          <t>6-monthly</t>
        </is>
      </c>
      <c r="I4" s="27" t="inlineStr">
        <is>
          <t>Cross-reference with CIVICUS Monitor for full picture</t>
        </is>
      </c>
    </row>
    <row r="5" ht="60" customHeight="1">
      <c r="A5" s="26" t="inlineStr">
        <is>
          <t>DB-003</t>
        </is>
      </c>
      <c r="B5" s="26" t="inlineStr">
        <is>
          <t>TrustLaw Pro Bono Portal</t>
        </is>
      </c>
      <c r="C5" s="26" t="inlineStr">
        <is>
          <t>https://www.trust.org/trustlaw/</t>
        </is>
      </c>
      <c r="D5" s="26" t="inlineStr">
        <is>
          <t>Searchable directory of pro bono legal services. Platforms can register and submit requests. Updated as law firm partners join or leave.</t>
        </is>
      </c>
      <c r="E5" s="26" t="inlineStr">
        <is>
          <t>Partner availability changes. Eligibility criteria update. Always use live portal for current matching process.</t>
        </is>
      </c>
      <c r="F5" s="26" t="inlineStr">
        <is>
          <t>Explicitly accepts platform applications — one of the few mechanisms that does. Direct users here for legal support requests.</t>
        </is>
      </c>
      <c r="G5" s="26" t="inlineStr">
        <is>
          <t>2026-02-17</t>
        </is>
      </c>
      <c r="H5" s="26" t="inlineStr">
        <is>
          <t>Annual</t>
        </is>
      </c>
      <c r="I5" s="26" t="inlineStr">
        <is>
          <t>Platform eligible confirmed at last check</t>
        </is>
      </c>
    </row>
    <row r="6" ht="60" customHeight="1">
      <c r="A6" s="27" t="inlineStr">
        <is>
          <t>DB-004</t>
        </is>
      </c>
      <c r="B6" s="27" t="inlineStr">
        <is>
          <t>Access Now Digital Security Helpline</t>
        </is>
      </c>
      <c r="C6" s="27" t="inlineStr">
        <is>
          <t>https://www.accessnow.org/help</t>
        </is>
      </c>
      <c r="D6" s="27" t="inlineStr">
        <is>
          <t>Secure channel for digital security advice and incident response. Contact forms, current Signal number, language options — all change periodically.</t>
        </is>
      </c>
      <c r="E6" s="27" t="inlineStr">
        <is>
          <t>Contact methods, Signal numbers, and language availability change. Copying contact details creates risk of directing users to outdated channels.</t>
        </is>
      </c>
      <c r="F6" s="27" t="inlineStr">
        <is>
          <t>Serves platforms and networks. Use for all digital security incidents, secure comms setup, threat assessment guidance.</t>
        </is>
      </c>
      <c r="G6" s="27" t="inlineStr">
        <is>
          <t>2026-02-17</t>
        </is>
      </c>
      <c r="H6" s="27" t="inlineStr">
        <is>
          <t>6-monthly</t>
        </is>
      </c>
      <c r="I6" s="27" t="inlineStr">
        <is>
          <t>Verify Signal contact number at each review</t>
        </is>
      </c>
    </row>
    <row r="7" ht="60" customHeight="1">
      <c r="A7" s="26" t="inlineStr">
        <is>
          <t>DB-005</t>
        </is>
      </c>
      <c r="B7" s="26" t="inlineStr">
        <is>
          <t>EU SEE Civil Society Data</t>
        </is>
      </c>
      <c r="C7" s="26" t="inlineStr">
        <is>
          <t>https://eusee.hivos.org</t>
        </is>
      </c>
      <c r="D7" s="26" t="inlineStr">
        <is>
          <t>Structured data on civil society enabling environment across EU SEE partner countries. Country profiles, trend analysis, threat monitoring.</t>
        </is>
      </c>
      <c r="E7" s="26" t="inlineStr">
        <is>
          <t>Data updates as new country assessments are completed. Copying creates stale snapshots. Link to live country profiles.</t>
        </is>
      </c>
      <c r="F7" s="26" t="inlineStr">
        <is>
          <t>Primary evidence base for context section. Reference for country-specific threat context in toolkit examples.</t>
        </is>
      </c>
      <c r="G7" s="26" t="inlineStr">
        <is>
          <t>2026-02-17</t>
        </is>
      </c>
      <c r="H7" s="26" t="inlineStr">
        <is>
          <t>Annual</t>
        </is>
      </c>
      <c r="I7" s="26" t="inlineStr">
        <is>
          <t>Also check for new thematic studies on digital repression, funding freeze etc.</t>
        </is>
      </c>
    </row>
    <row r="8" ht="60" customHeight="1">
      <c r="A8" s="27" t="inlineStr">
        <is>
          <t>DB-006</t>
        </is>
      </c>
      <c r="B8" s="27" t="inlineStr">
        <is>
          <t>Forus Funding Opportunities Page</t>
        </is>
      </c>
      <c r="C8" s="27" t="inlineStr">
        <is>
          <t>https://www.forus-international.org/en/funding-opportunities</t>
        </is>
      </c>
      <c r="D8" s="27" t="inlineStr">
        <is>
          <t>Forus-maintained list of funding opportunities relevant to members. Updated by Forus Secretariat.</t>
        </is>
      </c>
      <c r="E8" s="27" t="inlineStr">
        <is>
          <t>Content maintained by Forus directly — no need to duplicate in toolkit. Direct users to this page for funding opportunity searches.</t>
        </is>
      </c>
      <c r="F8" s="27" t="inlineStr">
        <is>
          <t>Directly relevant — Forus-curated. Should be first reference for members seeking funding opportunities.</t>
        </is>
      </c>
      <c r="G8" s="27" t="inlineStr">
        <is>
          <t>2026-02-17</t>
        </is>
      </c>
      <c r="H8" s="27" t="inlineStr">
        <is>
          <t>Annual</t>
        </is>
      </c>
      <c r="I8" s="27" t="inlineStr">
        <is>
          <t>Forus Secretariat owns this content — verify it is being maintained</t>
        </is>
      </c>
    </row>
  </sheetData>
  <mergeCells count="1">
    <mergeCell ref="A1:I1"/>
  </mergeCells>
  <pageMargins left="0.75" right="0.75" top="1" bottom="1" header="0.5" footer="0.5"/>
</worksheet>
</file>

<file path=xl/worksheets/sheet6.xml><?xml version="1.0" encoding="utf-8"?>
<worksheet xmlns="http://schemas.openxmlformats.org/spreadsheetml/2006/main">
  <sheetPr>
    <tabColor rgb="008B9A2E"/>
    <outlinePr summaryBelow="1" summaryRight="1"/>
    <pageSetUpPr/>
  </sheetPr>
  <dimension ref="A1:H12"/>
  <sheetViews>
    <sheetView showGridLines="0" workbookViewId="0">
      <selection activeCell="A1" sqref="A1"/>
    </sheetView>
  </sheetViews>
  <sheetFormatPr baseColWidth="8" defaultRowHeight="15"/>
  <cols>
    <col width="6" customWidth="1" min="1" max="1"/>
    <col width="14" customWidth="1" min="2" max="2"/>
    <col width="40" customWidth="1" min="3" max="3"/>
    <col width="12" customWidth="1" min="4" max="4"/>
    <col width="8" customWidth="1" min="5" max="5"/>
    <col width="14" customWidth="1" min="6" max="6"/>
    <col width="12" customWidth="1" min="7" max="7"/>
    <col width="50" customWidth="1" min="8" max="8"/>
  </cols>
  <sheetData>
    <row r="1" ht="32" customHeight="1">
      <c r="A1" s="28" t="inlineStr">
        <is>
          <t>SECTION CONFIG — Controls PDF design: colours, icons, order, headers (Sheet 4 of 5)</t>
        </is>
      </c>
    </row>
    <row r="2" ht="40" customHeight="1">
      <c r="A2" s="29" t="inlineStr">
        <is>
          <t>part</t>
        </is>
      </c>
      <c r="B2" s="29" t="inlineStr">
        <is>
          <t>section_code</t>
        </is>
      </c>
      <c r="C2" s="29" t="inlineStr">
        <is>
          <t>section_title</t>
        </is>
      </c>
      <c r="D2" s="29" t="inlineStr">
        <is>
          <t>colour_hex</t>
        </is>
      </c>
      <c r="E2" s="29" t="inlineStr">
        <is>
          <t>icon</t>
        </is>
      </c>
      <c r="F2" s="29" t="inlineStr">
        <is>
          <t>update_date</t>
        </is>
      </c>
      <c r="G2" s="29" t="inlineStr">
        <is>
          <t>access_level</t>
        </is>
      </c>
      <c r="H2" s="29" t="inlineStr">
        <is>
          <t>description</t>
        </is>
      </c>
    </row>
    <row r="3" ht="32" customHeight="1">
      <c r="A3" s="30" t="n">
        <v>1</v>
      </c>
      <c r="B3" s="30" t="inlineStr">
        <is>
          <t>P1-S1</t>
        </is>
      </c>
      <c r="C3" s="30" t="inlineStr">
        <is>
          <t>1.1 Legislative Crisis</t>
        </is>
      </c>
      <c r="D3" s="31" t="inlineStr">
        <is>
          <t>8B1A1A</t>
        </is>
      </c>
      <c r="E3" s="30" t="inlineStr">
        <is>
          <t>⚖</t>
        </is>
      </c>
      <c r="F3" s="30" t="inlineStr">
        <is>
          <t>2026-02-17</t>
        </is>
      </c>
      <c r="G3" s="30" t="n">
        <v>1</v>
      </c>
      <c r="H3" s="30" t="inlineStr">
        <is>
          <t>Foreign agent laws, deregistration, compliance escalation. First hour/24hrs/72hrs guidance.</t>
        </is>
      </c>
    </row>
    <row r="4" ht="32" customHeight="1">
      <c r="A4" s="32" t="n">
        <v>1</v>
      </c>
      <c r="B4" s="32" t="inlineStr">
        <is>
          <t>P1-S2</t>
        </is>
      </c>
      <c r="C4" s="32" t="inlineStr">
        <is>
          <t>1.2 Funding Shock</t>
        </is>
      </c>
      <c r="D4" s="33" t="inlineStr">
        <is>
          <t>B8860B</t>
        </is>
      </c>
      <c r="E4" s="32" t="inlineStr">
        <is>
          <t>💸</t>
        </is>
      </c>
      <c r="F4" s="32" t="inlineStr">
        <is>
          <t>2026-02-17</t>
        </is>
      </c>
      <c r="G4" s="32" t="n">
        <v>1</v>
      </c>
      <c r="H4" s="32" t="inlineStr">
        <is>
          <t>Sudden donor freeze, bank de-risking, blocked transfers. Runway triage first.</t>
        </is>
      </c>
    </row>
    <row r="5" ht="32" customHeight="1">
      <c r="A5" s="30" t="n">
        <v>1</v>
      </c>
      <c r="B5" s="30" t="inlineStr">
        <is>
          <t>P1-S3</t>
        </is>
      </c>
      <c r="C5" s="30" t="inlineStr">
        <is>
          <t>1.3 Digital Repression</t>
        </is>
      </c>
      <c r="D5" s="34" t="inlineStr">
        <is>
          <t>1F4E79</t>
        </is>
      </c>
      <c r="E5" s="30" t="inlineStr">
        <is>
          <t>🛡</t>
        </is>
      </c>
      <c r="F5" s="30" t="inlineStr">
        <is>
          <t>2026-02-17</t>
        </is>
      </c>
      <c r="G5" s="30" t="n">
        <v>1</v>
      </c>
      <c r="H5" s="30" t="inlineStr">
        <is>
          <t>Platform bans, shutdowns, cyber-attacks, surveillance. Prevention + response.</t>
        </is>
      </c>
    </row>
    <row r="6" ht="32" customHeight="1">
      <c r="A6" s="32" t="n">
        <v>1</v>
      </c>
      <c r="B6" s="32" t="inlineStr">
        <is>
          <t>P1-S4</t>
        </is>
      </c>
      <c r="C6" s="32" t="inlineStr">
        <is>
          <t>1.4 Stigmatisation &amp; Intimidation</t>
        </is>
      </c>
      <c r="D6" s="35" t="inlineStr">
        <is>
          <t>6B2D8B</t>
        </is>
      </c>
      <c r="E6" s="32" t="inlineStr">
        <is>
          <t>📢</t>
        </is>
      </c>
      <c r="F6" s="32" t="inlineStr">
        <is>
          <t>2026-02-17</t>
        </is>
      </c>
      <c r="G6" s="32" t="n">
        <v>1</v>
      </c>
      <c r="H6" s="32" t="inlineStr">
        <is>
          <t>Smear campaigns, harassment, delegitimisation. Comms-first response.</t>
        </is>
      </c>
    </row>
    <row r="7" ht="32" customHeight="1">
      <c r="A7" s="30" t="n">
        <v>2</v>
      </c>
      <c r="B7" s="30" t="inlineStr">
        <is>
          <t>P2</t>
        </is>
      </c>
      <c r="C7" s="30" t="inlineStr">
        <is>
          <t>2. Solidarity Activation</t>
        </is>
      </c>
      <c r="D7" s="36" t="inlineStr">
        <is>
          <t>2E6B6B</t>
        </is>
      </c>
      <c r="E7" s="30" t="inlineStr">
        <is>
          <t>🤝</t>
        </is>
      </c>
      <c r="F7" s="30" t="inlineStr">
        <is>
          <t>2026-02-17</t>
        </is>
      </c>
      <c r="G7" s="30" t="n">
        <v>2</v>
      </c>
      <c r="H7" s="30" t="inlineStr">
        <is>
          <t>Peer solidarity templates, activation pathways, secure channels.</t>
        </is>
      </c>
    </row>
    <row r="8" ht="32" customHeight="1">
      <c r="A8" s="32" t="n">
        <v>3</v>
      </c>
      <c r="B8" s="32" t="inlineStr">
        <is>
          <t>P3</t>
        </is>
      </c>
      <c r="C8" s="32" t="inlineStr">
        <is>
          <t>3. Legal Support Navigator</t>
        </is>
      </c>
      <c r="D8" s="34" t="inlineStr">
        <is>
          <t>1F4E79</t>
        </is>
      </c>
      <c r="E8" s="32" t="inlineStr">
        <is>
          <t>⚖</t>
        </is>
      </c>
      <c r="F8" s="32" t="inlineStr">
        <is>
          <t>2026-02-17</t>
        </is>
      </c>
      <c r="G8" s="32" t="n">
        <v>2</v>
      </c>
      <c r="H8" s="32" t="inlineStr">
        <is>
          <t>Platform-eligible legal mechanisms only. Decision tree: compliance vs defence vs litigation.</t>
        </is>
      </c>
    </row>
    <row r="9" ht="32" customHeight="1">
      <c r="A9" s="30" t="n">
        <v>4</v>
      </c>
      <c r="B9" s="30" t="inlineStr">
        <is>
          <t>P4</t>
        </is>
      </c>
      <c r="C9" s="30" t="inlineStr">
        <is>
          <t>4. Emergency Funding Guide</t>
        </is>
      </c>
      <c r="D9" s="37" t="inlineStr">
        <is>
          <t>4A7C2F</t>
        </is>
      </c>
      <c r="E9" s="30" t="inlineStr">
        <is>
          <t>💰</t>
        </is>
      </c>
      <c r="F9" s="30" t="inlineStr">
        <is>
          <t>2026-02-17</t>
        </is>
      </c>
      <c r="G9" s="30" t="n">
        <v>2</v>
      </c>
      <c r="H9" s="30" t="inlineStr">
        <is>
          <t>Updated funding mechanism directory. Platform eligibility flags. Post-2024 landscape.</t>
        </is>
      </c>
    </row>
    <row r="10" ht="32" customHeight="1">
      <c r="A10" s="32" t="n">
        <v>5</v>
      </c>
      <c r="B10" s="32" t="inlineStr">
        <is>
          <t>P5</t>
        </is>
      </c>
      <c r="C10" s="32" t="inlineStr">
        <is>
          <t>5. Safe Advocacy &amp; Comms</t>
        </is>
      </c>
      <c r="D10" s="38" t="inlineStr">
        <is>
          <t>8B6B00</t>
        </is>
      </c>
      <c r="E10" s="32" t="inlineStr">
        <is>
          <t>📡</t>
        </is>
      </c>
      <c r="F10" s="32" t="inlineStr">
        <is>
          <t>2026-02-17</t>
        </is>
      </c>
      <c r="G10" s="32" t="n">
        <v>1</v>
      </c>
      <c r="H10" s="32" t="inlineStr">
        <is>
          <t>Go public vs stay quiet decision tool. Secure comms protocols. Risk-aware advocacy.</t>
        </is>
      </c>
    </row>
    <row r="11" ht="32" customHeight="1">
      <c r="A11" s="30" t="n">
        <v>6</v>
      </c>
      <c r="B11" s="30" t="inlineStr">
        <is>
          <t>P6</t>
        </is>
      </c>
      <c r="C11" s="30" t="inlineStr">
        <is>
          <t>6. Diversification &amp; Mutualisation</t>
        </is>
      </c>
      <c r="D11" s="39" t="inlineStr">
        <is>
          <t>2D5016</t>
        </is>
      </c>
      <c r="E11" s="30" t="inlineStr">
        <is>
          <t>🌱</t>
        </is>
      </c>
      <c r="F11" s="30" t="inlineStr">
        <is>
          <t>2026-02-17</t>
        </is>
      </c>
      <c r="G11" s="30" t="n">
        <v>1</v>
      </c>
      <c r="H11" s="30" t="inlineStr">
        <is>
          <t>Readiness checklist. Model catalogue. Implementation guidance. Failure modes.</t>
        </is>
      </c>
    </row>
    <row r="12" ht="32" customHeight="1">
      <c r="A12" s="32" t="n">
        <v>7</v>
      </c>
      <c r="B12" s="32" t="inlineStr">
        <is>
          <t>P7</t>
        </is>
      </c>
      <c r="C12" s="32" t="inlineStr">
        <is>
          <t>7. Secretariat Update Guide</t>
        </is>
      </c>
      <c r="D12" s="40" t="inlineStr">
        <is>
          <t>4A4A4A</t>
        </is>
      </c>
      <c r="E12" s="32" t="inlineStr">
        <is>
          <t>🔧</t>
        </is>
      </c>
      <c r="F12" s="32" t="inlineStr">
        <is>
          <t>2026-02-17</t>
        </is>
      </c>
      <c r="G12" s="32" t="n">
        <v>1</v>
      </c>
      <c r="H12" s="32" t="inlineStr">
        <is>
          <t>Annual refresh calendar. Section ownership. Update time estimates. How to regenerate PDF.</t>
        </is>
      </c>
    </row>
  </sheetData>
  <mergeCells count="1">
    <mergeCell ref="A1:H1"/>
  </mergeCells>
  <pageMargins left="0.75" right="0.75" top="1" bottom="1" header="0.5" footer="0.5"/>
</worksheet>
</file>

<file path=xl/worksheets/sheet7.xml><?xml version="1.0" encoding="utf-8"?>
<worksheet xmlns="http://schemas.openxmlformats.org/spreadsheetml/2006/main">
  <sheetPr>
    <tabColor rgb="004A4A4A"/>
    <outlinePr summaryBelow="1" summaryRight="1"/>
    <pageSetUpPr/>
  </sheetPr>
  <dimension ref="A1:B20"/>
  <sheetViews>
    <sheetView showGridLines="0" workbookViewId="0">
      <selection activeCell="A1" sqref="A1"/>
    </sheetView>
  </sheetViews>
  <sheetFormatPr baseColWidth="8" defaultRowHeight="15"/>
  <cols>
    <col width="22" customWidth="1" min="1" max="1"/>
    <col width="90" customWidth="1" min="2" max="2"/>
  </cols>
  <sheetData>
    <row r="1" ht="36" customHeight="1">
      <c r="A1" s="1" t="inlineStr">
        <is>
          <t>HOW TO UPDATE THIS TOOLKIT — Read before making any changes (Sheet 5 of 5)</t>
        </is>
      </c>
    </row>
    <row r="2" ht="60" customHeight="1">
      <c r="A2" s="41" t="inlineStr">
        <is>
          <t>OVERVIEW</t>
        </is>
      </c>
      <c r="B2" s="42" t="inlineStr">
        <is>
          <t>This spreadsheet is the single source of truth for the Forus Resilience Toolkit PDF. All text in the PDF comes from this spreadsheet. To update the toolkit: edit this spreadsheet, then run generate_toolkit.py. No design software needed.</t>
        </is>
      </c>
    </row>
    <row r="3" ht="60" customHeight="1">
      <c r="A3" s="43" t="inlineStr">
        <is>
          <t>WORD LIMITS</t>
        </is>
      </c>
      <c r="B3" s="3" t="inlineStr">
        <is>
          <t>Every content block has a word limit. The within_limit column (K) in CONTENT shows ✓ if you're within limit or OVER ↑ if you've exceeded it. The PDF generator will flag and truncate overlong entries. Keep all entries within limit — they exist because the PDF layout has fixed space.</t>
        </is>
      </c>
    </row>
    <row r="4" ht="60" customHeight="1">
      <c r="A4" s="41" t="inlineStr">
        <is>
          <t>WORD LIMIT TABLE</t>
        </is>
      </c>
      <c r="B4" s="42" t="inlineStr">
        <is>
          <t>STEP=25 | INTRO=60 | TIP=35 | WARNING=35 | DECISION-Q=20 | DECISION-A=8 | CHECKLIST=20 | TEMPLATE=120 | CASE=80 | HEADER=10 | DB-REF=40 | MECHANISM-REF=15</t>
        </is>
      </c>
    </row>
    <row r="5" ht="60" customHeight="1">
      <c r="A5" s="43" t="inlineStr">
        <is>
          <t>BLOCK TYPES</t>
        </is>
      </c>
      <c r="B5" s="3" t="inlineStr">
        <is>
          <t>Each block type maps to a specific visual element in the PDF. STEP=numbered action card. TIP=green callout. WARNING=red callout. DECISION-Q/A=decision tree node. CHECKLIST=checkbox list. DB-REF=external database reference box. MECHANISM-REF=pointer to Mechanisms sheet.</t>
        </is>
      </c>
    </row>
    <row r="6" ht="60" customHeight="1">
      <c r="A6" s="41" t="inlineStr">
        <is>
          <t>MECHANISMS</t>
        </is>
      </c>
      <c r="B6" s="42" t="inlineStr">
        <is>
          <t>Mechanism details (legal/funding/digital) live in the MECHANISMS sheet, not in CONTENT. CONTENT rows that reference mechanisms use MECHANISM-REF type and point to a MECH ID. This means you update mechanism details in one place and they cascade to all references in the PDF.</t>
        </is>
      </c>
    </row>
    <row r="7" ht="60" customHeight="1">
      <c r="A7" s="43" t="inlineStr">
        <is>
          <t>DB REFERENCES</t>
        </is>
      </c>
      <c r="B7" s="3" t="inlineStr">
        <is>
          <t>For content that goes out of date quickly (CIVICUS Monitor data, Access Now contact details, funding mechanism status), use DB-REF block type rather than copying the content. DB-REF renders as a distinctive 'live reference' box in the PDF with a last-verified date — it directs users to the source rather than replicating it.</t>
        </is>
      </c>
    </row>
    <row r="8" ht="60" customHeight="1">
      <c r="A8" s="41" t="inlineStr">
        <is>
          <t>UPDATE PRIORITY</t>
        </is>
      </c>
      <c r="B8" s="42" t="inlineStr">
        <is>
          <t>HIGH-CHURN = review annually or sooner. Check next_review dates regularly. STABLE = review every 2 years. The next_review date in the CONTENT sheet triggers a highlight when overdue.</t>
        </is>
      </c>
    </row>
    <row r="9" ht="60" customHeight="1">
      <c r="A9" s="43" t="inlineStr">
        <is>
          <t>STATUS CODES</t>
        </is>
      </c>
      <c r="B9" s="3" t="inlineStr">
        <is>
          <t>In MECHANISMS: ACTIVE=working normally. RESTRICTED=open but with reduced capacity or narrower criteria. CLOSED=no longer accepting applications. VERIFY=status uncertain — check before referring anyone to this mechanism.</t>
        </is>
      </c>
    </row>
    <row r="10" ht="60" customHeight="1">
      <c r="A10" s="41" t="inlineStr">
        <is>
          <t>PLATFORM ELIGIBILITY</t>
        </is>
      </c>
      <c r="B10" s="42" t="inlineStr">
        <is>
          <t>The platform_eligible field in MECHANISMS is critical. YES=explicitly accepts platforms. PARTIAL=ambiguous or conditional. NO=individual CSOs only. Never refer a platform to a NO mechanism in the toolkit.</t>
        </is>
      </c>
    </row>
    <row r="11" ht="60" customHeight="1">
      <c r="A11" s="43" t="inlineStr">
        <is>
          <t>RUNNING THE SCRIPT</t>
        </is>
      </c>
      <c r="B11" s="3" t="inlineStr">
        <is>
          <t>1. Save this spreadsheet. 2. Open terminal. 3. Run: python generate_toolkit.py. 4. The PDF will be created as Forus_Toolkit_[DATE].pdf. 5. Check the console for any OVER-LIMIT warnings and fix them in this spreadsheet before distributing.</t>
        </is>
      </c>
    </row>
    <row r="12" ht="60" customHeight="1">
      <c r="A12" s="41" t="inlineStr">
        <is>
          <t>ANNUAL UPDATE CYCLE</t>
        </is>
      </c>
      <c r="B12" s="42" t="inlineStr">
        <is>
          <t>October: Update all MECHANISMS — verify status, eligibility, timeframes, contact details. November: Filter HIGH-CHURN rows in CONTENT — update any outdated text. December: Run generate_toolkit.py and review full PDF. January: Distribute updated toolkit to network.</t>
        </is>
      </c>
    </row>
    <row r="13" ht="60" customHeight="1">
      <c r="A13" s="43" t="inlineStr">
        <is>
          <t>ACCESS LEVELS</t>
        </is>
      </c>
      <c r="B13" s="3" t="inlineStr">
        <is>
          <t>Sensitivity 1=public content (included in public PDF). Sensitivity 2=network-tier content (included in password-protected PDF). Sensitivity 3=named individuals only (not in PDF — share separately with Secretariat approval). The generator produces two PDFs: one public, one network-tier.</t>
        </is>
      </c>
    </row>
    <row r="15" ht="42" customHeight="1">
      <c r="A15" s="100" t="inlineStr">
        <is>
          <t>ADDING NEW ROWS</t>
        </is>
      </c>
      <c r="B15" s="101" t="inlineStr">
        <is>
          <t>To add a new content block: insert a row anywhere in the CONTENT sheet and fill in columns A–H as a minimum. You do NOT need to put it in the right position — the generator sorts everything automatically at build time and rewrites the spreadsheet in logical order. Leave column G (sensitivity) as 1 for public content or 2 for network-only content.</t>
        </is>
      </c>
    </row>
    <row r="16" ht="42" customHeight="1">
      <c r="A16" s="100" t="inlineStr">
        <is>
          <t>BLOCK ID FORMAT</t>
        </is>
      </c>
      <c r="B16" s="101" t="inlineStr">
        <is>
          <t>Every row must have a unique block_id in column A. Follow the pattern: P{part}-S{section}-{TYPE}-{number} e.g. P1-S1-STEP-010 or P2-INTRO-001. If block_id is blank the generator treats the row as deleted and skips it entirely. Numbers do not need to be sequential — just unique.</t>
        </is>
      </c>
    </row>
    <row r="17" ht="42" customHeight="1">
      <c r="A17" s="100" t="inlineStr">
        <is>
          <t>SECTION TEXT RULE</t>
        </is>
      </c>
      <c r="B17" s="101" t="inlineStr">
        <is>
          <t>The section value in column C controls section banners in the PDF. All rows in the same section MUST have exactly identical text in column C — same capitalisation, same spacing, no trailing spaces. If even one character differs the generator will create a second unwanted banner. The safest approach is to copy-paste the section text from an existing row rather than retyping it.</t>
        </is>
      </c>
    </row>
    <row r="18" ht="42" customHeight="1">
      <c r="A18" s="100" t="inlineStr">
        <is>
          <t>CHANGING BLOCK TYPE</t>
        </is>
      </c>
      <c r="B18" s="101" t="inlineStr">
        <is>
          <t>To change a block type, just overwrite the value in column F. Valid types: STEP, INTRO, TIP, WARNING, DECISION-Q, DECISION-A, CHECKLIST, TEMPLATE, CASE, DB-REF, MECHANISM-REF, SUBSECTION, FEEDBACK. If column I (word_limit) is blank the generator will apply the default limit for the new type automatically. Check column K (within_limit) after the next build to confirm the content fits.</t>
        </is>
      </c>
    </row>
    <row r="19" ht="42" customHeight="1">
      <c r="A19" s="100" t="inlineStr">
        <is>
          <t>DISPLAY ORDER</t>
        </is>
      </c>
      <c r="B19" s="101" t="inlineStr">
        <is>
          <t>Within a section, blocks are ordered by time_horizon first (preemptive → general → first-hour → first-24hrs → first-72hrs) then by display_order (column Q, hidden). If you want precise control over block ordering within a horizon group, unhide column Q and set a number — lower numbers appear first. Blocks with the same display_order appear in the order they were added.</t>
        </is>
      </c>
    </row>
    <row r="20" ht="42" customHeight="1">
      <c r="A20" s="100" t="inlineStr">
        <is>
          <t>DELETING A ROW</t>
        </is>
      </c>
      <c r="B20" s="101" t="inlineStr">
        <is>
          <t>To delete a content block, either delete the entire spreadsheet row, or clear the block_id in column A. Rows with a blank block_id are ignored by the generator and will be removed from the spreadsheet automatically on the next build.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2026-03-12T09:52:58Z</dcterms:created>
  <dcterms:modified xmlns:dcterms="http://purl.org/dc/terms/" xmlns:xsi="http://www.w3.org/2001/XMLSchema-instance" xsi:type="dcterms:W3CDTF">2026-03-17T17:24:13Z</dcterms:modified>
</cp:coreProperties>
</file>